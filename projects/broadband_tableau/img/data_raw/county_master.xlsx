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\j-tompkins.github.io\projects\broadband_tableau\data_raw\"/>
    </mc:Choice>
  </mc:AlternateContent>
  <xr:revisionPtr revIDLastSave="0" documentId="13_ncr:1_{4B87C18B-2D42-4BF9-8401-117A1D79E7B5}" xr6:coauthVersionLast="47" xr6:coauthVersionMax="47" xr10:uidLastSave="{00000000-0000-0000-0000-000000000000}"/>
  <bookViews>
    <workbookView xWindow="-110" yWindow="-110" windowWidth="22620" windowHeight="13500" xr2:uid="{C8FA6E8B-7E91-4049-BCC1-C8913CE97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2" i="1"/>
</calcChain>
</file>

<file path=xl/sharedStrings.xml><?xml version="1.0" encoding="utf-8"?>
<sst xmlns="http://schemas.openxmlformats.org/spreadsheetml/2006/main" count="138" uniqueCount="138">
  <si>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</si>
  <si>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</si>
  <si>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</si>
  <si>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</si>
  <si>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</si>
  <si>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</si>
  <si>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</si>
  <si>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</si>
  <si>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</si>
  <si>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</si>
  <si>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</si>
  <si>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</si>
  <si>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</si>
  <si>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</si>
  <si>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</si>
  <si>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</si>
  <si>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</si>
  <si>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</si>
  <si>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</si>
  <si>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</si>
  <si>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</si>
  <si>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</si>
  <si>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</si>
  <si>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</si>
  <si>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</si>
  <si>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</si>
  <si>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</si>
  <si>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</si>
  <si>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</si>
  <si>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</si>
  <si>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</si>
  <si>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</si>
  <si>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</si>
  <si>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</si>
  <si>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</si>
  <si>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</si>
  <si>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</si>
  <si>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</si>
  <si>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</si>
  <si>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</si>
  <si>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</si>
  <si>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</si>
  <si>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</si>
  <si>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</si>
  <si>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</si>
  <si>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</si>
  <si>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</si>
  <si>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</si>
  <si>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</si>
  <si>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</si>
  <si>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</si>
  <si>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</si>
  <si>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</si>
  <si>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</si>
  <si>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</si>
  <si>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</si>
  <si>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</si>
  <si>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</si>
  <si>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under_18</t>
  </si>
  <si>
    <t>18_or_over</t>
  </si>
  <si>
    <t>65_or_over</t>
  </si>
  <si>
    <t>black</t>
  </si>
  <si>
    <t>white</t>
  </si>
  <si>
    <t>hispanic</t>
  </si>
  <si>
    <t>asian</t>
  </si>
  <si>
    <t>am_indian_alask_nat</t>
  </si>
  <si>
    <t>two_or_more</t>
  </si>
  <si>
    <t>GEO_ID</t>
  </si>
  <si>
    <t>other</t>
  </si>
  <si>
    <t>adoption_gap</t>
  </si>
  <si>
    <t>adoption_rate</t>
  </si>
  <si>
    <t>median_income</t>
  </si>
  <si>
    <t>poverty_pct</t>
  </si>
  <si>
    <t>unserved_share</t>
  </si>
  <si>
    <t>unserved_hh_25_3</t>
  </si>
  <si>
    <t>households_offered</t>
  </si>
  <si>
    <t>consumer_connections</t>
  </si>
  <si>
    <t>served_hh_25_3</t>
  </si>
  <si>
    <t>all_hh</t>
  </si>
  <si>
    <t>county</t>
  </si>
  <si>
    <t>0500000US06001</t>
  </si>
  <si>
    <t>0500000US06003</t>
  </si>
  <si>
    <t>0500000US06005</t>
  </si>
  <si>
    <t>0500000US06007</t>
  </si>
  <si>
    <t>0500000US06009</t>
  </si>
  <si>
    <t>0500000US06011</t>
  </si>
  <si>
    <t>0500000US06013</t>
  </si>
  <si>
    <t>0500000US06015</t>
  </si>
  <si>
    <t>0500000US06017</t>
  </si>
  <si>
    <t>0500000US06019</t>
  </si>
  <si>
    <t>0500000US06021</t>
  </si>
  <si>
    <t>0500000US06023</t>
  </si>
  <si>
    <t>0500000US06025</t>
  </si>
  <si>
    <t>0500000US06027</t>
  </si>
  <si>
    <t>0500000US06029</t>
  </si>
  <si>
    <t>0500000US06031</t>
  </si>
  <si>
    <t>0500000US06033</t>
  </si>
  <si>
    <t>0500000US06035</t>
  </si>
  <si>
    <t>0500000US06037</t>
  </si>
  <si>
    <t>0500000US06039</t>
  </si>
  <si>
    <t>0500000US06041</t>
  </si>
  <si>
    <t>0500000US06043</t>
  </si>
  <si>
    <t>0500000US06045</t>
  </si>
  <si>
    <t>0500000US06047</t>
  </si>
  <si>
    <t>0500000US06049</t>
  </si>
  <si>
    <t>0500000US06051</t>
  </si>
  <si>
    <t>0500000US06053</t>
  </si>
  <si>
    <t>0500000US06055</t>
  </si>
  <si>
    <t>0500000US06057</t>
  </si>
  <si>
    <t>0500000US06059</t>
  </si>
  <si>
    <t>0500000US06061</t>
  </si>
  <si>
    <t>0500000US06063</t>
  </si>
  <si>
    <t>0500000US06065</t>
  </si>
  <si>
    <t>0500000US06067</t>
  </si>
  <si>
    <t>0500000US06069</t>
  </si>
  <si>
    <t>0500000US06071</t>
  </si>
  <si>
    <t>0500000US06073</t>
  </si>
  <si>
    <t>0500000US06075</t>
  </si>
  <si>
    <t>0500000US06077</t>
  </si>
  <si>
    <t>0500000US06079</t>
  </si>
  <si>
    <t>0500000US06081</t>
  </si>
  <si>
    <t>0500000US06083</t>
  </si>
  <si>
    <t>0500000US06085</t>
  </si>
  <si>
    <t>0500000US06087</t>
  </si>
  <si>
    <t>0500000US06089</t>
  </si>
  <si>
    <t>0500000US06091</t>
  </si>
  <si>
    <t>0500000US06093</t>
  </si>
  <si>
    <t>0500000US06095</t>
  </si>
  <si>
    <t>0500000US06097</t>
  </si>
  <si>
    <t>0500000US06099</t>
  </si>
  <si>
    <t>0500000US06101</t>
  </si>
  <si>
    <t>0500000US06103</t>
  </si>
  <si>
    <t>0500000US06105</t>
  </si>
  <si>
    <t>0500000US06107</t>
  </si>
  <si>
    <t>0500000US06109</t>
  </si>
  <si>
    <t>0500000US06111</t>
  </si>
  <si>
    <t>0500000US06113</t>
  </si>
  <si>
    <t>0500000US06115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</si>
</sst>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1A06-0EBB-4C78-8FD2-61658A72DF9D}">
  <dimension ref="A1:V59"/>
  <sheetViews>
    <sheetView tabSelected="1" topLeftCell="J37" zoomScale="110" zoomScaleNormal="110" workbookViewId="0">
      <selection activeCell="X12" sqref="X12"/>
    </sheetView>
  </sheetViews>
  <sheetFormatPr defaultRowHeight="14.5" x14ac:dyDescent="0.35"/>
  <cols>
    <col min="1" max="1" width="13.54296875" customWidth="1"/>
    <col min="2" max="2" width="9.6328125" customWidth="1"/>
    <col min="3" max="3" width="16.08984375" customWidth="1"/>
    <col min="4" max="4" width="18.453125" customWidth="1"/>
    <col min="5" max="5" width="21.7265625" customWidth="1"/>
    <col min="6" max="6" width="22.7265625" customWidth="1"/>
    <col min="7" max="7" width="17.26953125" customWidth="1"/>
    <col min="8" max="8" width="16.7265625" customWidth="1"/>
    <col min="9" max="9" width="16" customWidth="1"/>
    <col min="10" max="10" width="15.81640625" customWidth="1"/>
    <col min="11" max="11" width="13.453125" customWidth="1"/>
    <col min="12" max="12" width="11.54296875" customWidth="1"/>
    <col min="13" max="13" width="11.7265625" customWidth="1"/>
    <col min="14" max="14" width="10.90625" customWidth="1"/>
    <col min="19" max="19" width="20" customWidth="1"/>
    <col min="20" max="20" width="12.81640625" customWidth="1"/>
    <col min="21" max="21" width="10.36328125" customWidth="1"/>
    <col min="22" max="22" width="16.54296875" customWidth="1"/>
  </cols>
  <sheetData>
    <row r="1" spans="1:22" x14ac:dyDescent="0.35">
      <c r="A1" s="1" t="s">
        <v>79</v>
      </c>
      <c r="B1" s="1" t="s">
        <v>78</v>
      </c>
      <c r="C1" s="1" t="s">
        <v>77</v>
      </c>
      <c r="D1" s="1" t="s">
        <v>74</v>
      </c>
      <c r="E1" s="1" t="s">
        <v>75</v>
      </c>
      <c r="F1" s="1" t="s">
        <v>76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69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68</v>
      </c>
      <c r="V1" s="2" t="s">
        <v>67</v>
      </c>
    </row>
    <row r="2" spans="1:22" x14ac:dyDescent="0.35">
      <c r="A2" t="s">
        <v>0</v>
      </c>
      <c r="B2" s="4">
        <v>697354</v>
      </c>
      <c r="C2" s="4">
        <v>696029</v>
      </c>
      <c r="D2" s="3">
        <v>139</v>
      </c>
      <c r="E2" s="4">
        <v>696029</v>
      </c>
      <c r="F2" s="4">
        <v>543782</v>
      </c>
      <c r="G2" s="5">
        <v>0.78129999999999999</v>
      </c>
      <c r="H2" s="6">
        <v>593117</v>
      </c>
      <c r="I2" s="6">
        <v>9.1999999999999993</v>
      </c>
      <c r="J2" s="6">
        <f>IFERROR(D2/B2*100, 0)</f>
        <v>1.9932487660499546E-2</v>
      </c>
      <c r="K2" s="7">
        <f>E2-F2</f>
        <v>152247</v>
      </c>
      <c r="L2" s="6">
        <v>20</v>
      </c>
      <c r="M2" s="6">
        <v>80</v>
      </c>
      <c r="N2" s="6">
        <v>14.9</v>
      </c>
      <c r="O2" s="6">
        <v>9.9</v>
      </c>
      <c r="P2" s="6">
        <v>32</v>
      </c>
      <c r="Q2" s="6">
        <v>23.3</v>
      </c>
      <c r="R2" s="6">
        <v>32.200000000000003</v>
      </c>
      <c r="S2" s="6">
        <v>0.9</v>
      </c>
      <c r="T2" s="6">
        <v>11.3</v>
      </c>
      <c r="U2" s="6">
        <v>12.9</v>
      </c>
      <c r="V2" s="6" t="s">
        <v>80</v>
      </c>
    </row>
    <row r="3" spans="1:22" x14ac:dyDescent="0.35">
      <c r="A3" t="s">
        <v>1</v>
      </c>
      <c r="B3" s="4">
        <v>1577</v>
      </c>
      <c r="C3" s="3">
        <v>498</v>
      </c>
      <c r="D3" s="3">
        <v>501</v>
      </c>
      <c r="E3" s="3">
        <v>498</v>
      </c>
      <c r="F3" s="3">
        <v>380</v>
      </c>
      <c r="G3" s="5">
        <v>0.7631</v>
      </c>
      <c r="H3" s="6">
        <v>473</v>
      </c>
      <c r="I3" s="6">
        <v>12.3</v>
      </c>
      <c r="J3" s="6">
        <f t="shared" ref="J3:J59" si="0">IFERROR(D3/B3*100, 0)</f>
        <v>31.769181991122387</v>
      </c>
      <c r="K3" s="7">
        <f t="shared" ref="K3:K59" si="1">E3-F3</f>
        <v>118</v>
      </c>
      <c r="L3" s="6">
        <v>22.6</v>
      </c>
      <c r="M3" s="6">
        <v>77.400000000000006</v>
      </c>
      <c r="N3" s="6">
        <v>21.8</v>
      </c>
      <c r="O3" s="6">
        <v>0</v>
      </c>
      <c r="P3" s="6">
        <v>63.5</v>
      </c>
      <c r="Q3" s="6">
        <v>14.7</v>
      </c>
      <c r="R3" s="6">
        <v>0.5</v>
      </c>
      <c r="S3" s="6">
        <v>27</v>
      </c>
      <c r="T3" s="6">
        <v>7.7</v>
      </c>
      <c r="U3" s="6">
        <v>1.3</v>
      </c>
      <c r="V3" s="6" t="s">
        <v>81</v>
      </c>
    </row>
    <row r="4" spans="1:22" x14ac:dyDescent="0.35">
      <c r="A4" t="s">
        <v>2</v>
      </c>
      <c r="B4" s="4">
        <v>22516</v>
      </c>
      <c r="C4" s="4">
        <v>20670</v>
      </c>
      <c r="D4" s="3">
        <v>682</v>
      </c>
      <c r="E4" s="4">
        <v>20670</v>
      </c>
      <c r="F4" s="4">
        <v>9770</v>
      </c>
      <c r="G4" s="5">
        <v>0.47270000000000001</v>
      </c>
      <c r="H4" s="6">
        <v>16066</v>
      </c>
      <c r="I4" s="6">
        <v>7.8</v>
      </c>
      <c r="J4" s="6">
        <f t="shared" si="0"/>
        <v>3.0289571860010658</v>
      </c>
      <c r="K4" s="7">
        <f t="shared" si="1"/>
        <v>10900</v>
      </c>
      <c r="L4" s="6">
        <v>15.5</v>
      </c>
      <c r="M4" s="6">
        <v>84.5</v>
      </c>
      <c r="N4" s="6">
        <v>27.2</v>
      </c>
      <c r="O4" s="6">
        <v>2</v>
      </c>
      <c r="P4" s="6">
        <v>77.8</v>
      </c>
      <c r="Q4" s="6">
        <v>15.5</v>
      </c>
      <c r="R4" s="6">
        <v>1.4</v>
      </c>
      <c r="S4" s="6">
        <v>1.2</v>
      </c>
      <c r="T4" s="6">
        <v>12.3</v>
      </c>
      <c r="U4" s="6">
        <v>5.3</v>
      </c>
      <c r="V4" s="6" t="s">
        <v>82</v>
      </c>
    </row>
    <row r="5" spans="1:22" x14ac:dyDescent="0.35">
      <c r="A5" t="s">
        <v>3</v>
      </c>
      <c r="B5" s="4">
        <v>104132</v>
      </c>
      <c r="C5" s="4">
        <v>100696</v>
      </c>
      <c r="D5" s="3">
        <v>187</v>
      </c>
      <c r="E5" s="4">
        <v>100696</v>
      </c>
      <c r="F5" s="4">
        <v>69014</v>
      </c>
      <c r="G5" s="5">
        <v>0.68540000000000001</v>
      </c>
      <c r="H5" s="6">
        <v>82345</v>
      </c>
      <c r="I5" s="6">
        <v>18.3</v>
      </c>
      <c r="J5" s="6">
        <f t="shared" si="0"/>
        <v>0.17957976414550764</v>
      </c>
      <c r="K5" s="7">
        <f t="shared" si="1"/>
        <v>31682</v>
      </c>
      <c r="L5" s="6">
        <v>20.5</v>
      </c>
      <c r="M5" s="6">
        <v>79.5</v>
      </c>
      <c r="N5" s="6">
        <v>18.2</v>
      </c>
      <c r="O5" s="6">
        <v>1.8</v>
      </c>
      <c r="P5" s="6">
        <v>72.599999999999994</v>
      </c>
      <c r="Q5" s="6">
        <v>19.5</v>
      </c>
      <c r="R5" s="6">
        <v>5.4</v>
      </c>
      <c r="S5" s="6">
        <v>1.2</v>
      </c>
      <c r="T5" s="6">
        <v>12.1</v>
      </c>
      <c r="U5" s="6">
        <v>6.6</v>
      </c>
      <c r="V5" s="6" t="s">
        <v>83</v>
      </c>
    </row>
    <row r="6" spans="1:22" x14ac:dyDescent="0.35">
      <c r="A6" t="s">
        <v>4</v>
      </c>
      <c r="B6" s="4">
        <v>32007</v>
      </c>
      <c r="C6" s="4">
        <v>30275</v>
      </c>
      <c r="D6" s="3">
        <v>259</v>
      </c>
      <c r="E6" s="4">
        <v>30275</v>
      </c>
      <c r="F6" s="4">
        <v>18071</v>
      </c>
      <c r="G6" s="5">
        <v>0.59689999999999999</v>
      </c>
      <c r="H6" s="6">
        <v>17897</v>
      </c>
      <c r="I6" s="6">
        <v>13.4</v>
      </c>
      <c r="J6" s="6">
        <f t="shared" si="0"/>
        <v>0.80919798794013809</v>
      </c>
      <c r="K6" s="7">
        <f t="shared" si="1"/>
        <v>12204</v>
      </c>
      <c r="L6" s="6">
        <v>16.899999999999999</v>
      </c>
      <c r="M6" s="6">
        <v>83.1</v>
      </c>
      <c r="N6" s="6">
        <v>28.7</v>
      </c>
      <c r="O6" s="6">
        <v>1.2</v>
      </c>
      <c r="P6" s="6">
        <v>80.8</v>
      </c>
      <c r="Q6" s="6">
        <v>13.9</v>
      </c>
      <c r="R6" s="6">
        <v>2.2999999999999998</v>
      </c>
      <c r="S6" s="6">
        <v>1.5</v>
      </c>
      <c r="T6" s="6">
        <v>11.2</v>
      </c>
      <c r="U6" s="6">
        <v>3</v>
      </c>
      <c r="V6" s="6" t="s">
        <v>84</v>
      </c>
    </row>
    <row r="7" spans="1:22" x14ac:dyDescent="0.35">
      <c r="A7" t="s">
        <v>5</v>
      </c>
      <c r="B7" s="4">
        <v>10370</v>
      </c>
      <c r="C7" s="4">
        <v>9566</v>
      </c>
      <c r="D7" s="3">
        <v>61</v>
      </c>
      <c r="E7" s="4">
        <v>9566</v>
      </c>
      <c r="F7" s="4">
        <v>4176</v>
      </c>
      <c r="G7" s="5">
        <v>0.4365</v>
      </c>
      <c r="H7" s="6">
        <v>7466</v>
      </c>
      <c r="I7" s="6">
        <v>10.8</v>
      </c>
      <c r="J7" s="6">
        <f t="shared" si="0"/>
        <v>0.58823529411764708</v>
      </c>
      <c r="K7" s="7">
        <f t="shared" si="1"/>
        <v>5390</v>
      </c>
      <c r="L7" s="6">
        <v>27.3</v>
      </c>
      <c r="M7" s="6">
        <v>72.7</v>
      </c>
      <c r="N7" s="6">
        <v>15.3</v>
      </c>
      <c r="O7" s="6">
        <v>1.4</v>
      </c>
      <c r="P7" s="6">
        <v>51.2</v>
      </c>
      <c r="Q7" s="6">
        <v>62.3</v>
      </c>
      <c r="R7" s="6">
        <v>0.7</v>
      </c>
      <c r="S7" s="6">
        <v>1.4</v>
      </c>
      <c r="T7" s="6">
        <v>19.899999999999999</v>
      </c>
      <c r="U7" s="6">
        <v>25.4</v>
      </c>
      <c r="V7" s="6" t="s">
        <v>85</v>
      </c>
    </row>
    <row r="8" spans="1:22" x14ac:dyDescent="0.35">
      <c r="A8" t="s">
        <v>6</v>
      </c>
      <c r="B8" s="4">
        <v>467745</v>
      </c>
      <c r="C8" s="4">
        <v>465219</v>
      </c>
      <c r="D8" s="3">
        <v>94</v>
      </c>
      <c r="E8" s="4">
        <v>465219</v>
      </c>
      <c r="F8" s="4">
        <v>386320</v>
      </c>
      <c r="G8" s="5">
        <v>0.83040000000000003</v>
      </c>
      <c r="H8" s="6">
        <v>411662</v>
      </c>
      <c r="I8" s="6">
        <v>8.3000000000000007</v>
      </c>
      <c r="J8" s="6">
        <f t="shared" si="0"/>
        <v>2.0096420057937551E-2</v>
      </c>
      <c r="K8" s="7">
        <f t="shared" si="1"/>
        <v>78899</v>
      </c>
      <c r="L8" s="6">
        <v>22.2</v>
      </c>
      <c r="M8" s="6">
        <v>77.8</v>
      </c>
      <c r="N8" s="6">
        <v>16.7</v>
      </c>
      <c r="O8" s="6">
        <v>8.5</v>
      </c>
      <c r="P8" s="6">
        <v>43.5</v>
      </c>
      <c r="Q8" s="6">
        <v>27.3</v>
      </c>
      <c r="R8" s="6">
        <v>18.5</v>
      </c>
      <c r="S8" s="6">
        <v>0.9</v>
      </c>
      <c r="T8" s="6">
        <v>14.5</v>
      </c>
      <c r="U8" s="6">
        <v>13.7</v>
      </c>
      <c r="V8" s="6" t="s">
        <v>86</v>
      </c>
    </row>
    <row r="9" spans="1:22" x14ac:dyDescent="0.35">
      <c r="A9" t="s">
        <v>7</v>
      </c>
      <c r="B9" s="4">
        <v>12948</v>
      </c>
      <c r="C9" s="4">
        <v>11128</v>
      </c>
      <c r="D9" s="3">
        <v>492</v>
      </c>
      <c r="E9" s="4">
        <v>11128</v>
      </c>
      <c r="F9" s="4">
        <v>8605</v>
      </c>
      <c r="G9" s="5">
        <v>0.77329999999999999</v>
      </c>
      <c r="H9" s="6">
        <v>9621</v>
      </c>
      <c r="I9" s="6">
        <v>11.6</v>
      </c>
      <c r="J9" s="6">
        <f t="shared" si="0"/>
        <v>3.7998146431881374</v>
      </c>
      <c r="K9" s="7">
        <f t="shared" si="1"/>
        <v>2523</v>
      </c>
      <c r="L9" s="6">
        <v>21</v>
      </c>
      <c r="M9" s="6">
        <v>79</v>
      </c>
      <c r="N9" s="6">
        <v>19.8</v>
      </c>
      <c r="O9" s="6">
        <v>2.9</v>
      </c>
      <c r="P9" s="6">
        <v>67.099999999999994</v>
      </c>
      <c r="Q9" s="6">
        <v>19.600000000000001</v>
      </c>
      <c r="R9" s="6">
        <v>3.1</v>
      </c>
      <c r="S9" s="6">
        <v>7</v>
      </c>
      <c r="T9" s="6">
        <v>11.1</v>
      </c>
      <c r="U9" s="6">
        <v>8.3000000000000007</v>
      </c>
      <c r="V9" s="6" t="s">
        <v>87</v>
      </c>
    </row>
    <row r="10" spans="1:22" x14ac:dyDescent="0.35">
      <c r="A10" t="s">
        <v>8</v>
      </c>
      <c r="B10" s="4">
        <v>105485</v>
      </c>
      <c r="C10" s="4">
        <v>100622</v>
      </c>
      <c r="D10" s="3">
        <v>686</v>
      </c>
      <c r="E10" s="4">
        <v>100622</v>
      </c>
      <c r="F10" s="4">
        <v>63245</v>
      </c>
      <c r="G10" s="5">
        <v>0.62849999999999995</v>
      </c>
      <c r="H10" s="6">
        <v>75719</v>
      </c>
      <c r="I10" s="6">
        <v>8.3000000000000007</v>
      </c>
      <c r="J10" s="6">
        <f t="shared" si="0"/>
        <v>0.65032943072474758</v>
      </c>
      <c r="K10" s="7">
        <f t="shared" si="1"/>
        <v>37377</v>
      </c>
      <c r="L10" s="6">
        <v>19.7</v>
      </c>
      <c r="M10" s="6">
        <v>80.3</v>
      </c>
      <c r="N10" s="6">
        <v>22.8</v>
      </c>
      <c r="O10" s="6">
        <v>0.9</v>
      </c>
      <c r="P10" s="6">
        <v>79.900000000000006</v>
      </c>
      <c r="Q10" s="6">
        <v>14.2</v>
      </c>
      <c r="R10" s="6">
        <v>5.2</v>
      </c>
      <c r="S10" s="6">
        <v>0.6</v>
      </c>
      <c r="T10" s="6">
        <v>9.1999999999999993</v>
      </c>
      <c r="U10" s="6">
        <v>4.0999999999999996</v>
      </c>
      <c r="V10" s="6" t="s">
        <v>88</v>
      </c>
    </row>
    <row r="11" spans="1:22" x14ac:dyDescent="0.35">
      <c r="A11" t="s">
        <v>9</v>
      </c>
      <c r="B11" s="4">
        <v>386651</v>
      </c>
      <c r="C11" s="4">
        <v>384950</v>
      </c>
      <c r="D11" s="3">
        <v>657</v>
      </c>
      <c r="E11" s="4">
        <v>384950</v>
      </c>
      <c r="F11" s="4">
        <v>267584</v>
      </c>
      <c r="G11" s="5">
        <v>0.69510000000000005</v>
      </c>
      <c r="H11" s="6">
        <v>322163</v>
      </c>
      <c r="I11" s="6">
        <v>18.7</v>
      </c>
      <c r="J11" s="6">
        <f t="shared" si="0"/>
        <v>0.16992067782056688</v>
      </c>
      <c r="K11" s="7">
        <f t="shared" si="1"/>
        <v>117366</v>
      </c>
      <c r="L11" s="6">
        <v>28</v>
      </c>
      <c r="M11" s="6">
        <v>72</v>
      </c>
      <c r="N11" s="6">
        <v>12.7</v>
      </c>
      <c r="O11" s="6">
        <v>4.4000000000000004</v>
      </c>
      <c r="P11" s="6">
        <v>41.8</v>
      </c>
      <c r="Q11" s="6">
        <v>54.1</v>
      </c>
      <c r="R11" s="6">
        <v>11</v>
      </c>
      <c r="S11" s="6">
        <v>1.4</v>
      </c>
      <c r="T11" s="6">
        <v>20.9</v>
      </c>
      <c r="U11" s="6">
        <v>20.3</v>
      </c>
      <c r="V11" s="6" t="s">
        <v>89</v>
      </c>
    </row>
    <row r="12" spans="1:22" x14ac:dyDescent="0.35">
      <c r="A12" t="s">
        <v>10</v>
      </c>
      <c r="B12" s="4">
        <v>13512</v>
      </c>
      <c r="C12" s="4">
        <v>13072</v>
      </c>
      <c r="D12" s="3">
        <v>14</v>
      </c>
      <c r="E12" s="4">
        <v>13072</v>
      </c>
      <c r="F12" s="4">
        <v>6296</v>
      </c>
      <c r="G12" s="5">
        <v>0.48159999999999997</v>
      </c>
      <c r="H12" s="6">
        <v>9763</v>
      </c>
      <c r="I12" s="6">
        <v>12.4</v>
      </c>
      <c r="J12" s="6">
        <f t="shared" si="0"/>
        <v>0.10361160449970397</v>
      </c>
      <c r="K12" s="7">
        <f t="shared" si="1"/>
        <v>6776</v>
      </c>
      <c r="L12" s="6">
        <v>26.2</v>
      </c>
      <c r="M12" s="6">
        <v>73.8</v>
      </c>
      <c r="N12" s="6">
        <v>16.8</v>
      </c>
      <c r="O12" s="6">
        <v>0.6</v>
      </c>
      <c r="P12" s="6">
        <v>59.8</v>
      </c>
      <c r="Q12" s="6">
        <v>44.1</v>
      </c>
      <c r="R12" s="6">
        <v>2.7</v>
      </c>
      <c r="S12" s="6">
        <v>1.5</v>
      </c>
      <c r="T12" s="6">
        <v>14.5</v>
      </c>
      <c r="U12" s="6">
        <v>20.9</v>
      </c>
      <c r="V12" s="6" t="s">
        <v>90</v>
      </c>
    </row>
    <row r="13" spans="1:22" x14ac:dyDescent="0.35">
      <c r="A13" t="s">
        <v>11</v>
      </c>
      <c r="B13" s="4">
        <v>72545</v>
      </c>
      <c r="C13" s="4">
        <v>70920</v>
      </c>
      <c r="D13" s="3">
        <v>326</v>
      </c>
      <c r="E13" s="4">
        <v>70920</v>
      </c>
      <c r="F13" s="4">
        <v>41090</v>
      </c>
      <c r="G13" s="5">
        <v>0.57940000000000003</v>
      </c>
      <c r="H13" s="6">
        <v>54878</v>
      </c>
      <c r="I13" s="6">
        <v>18.899999999999999</v>
      </c>
      <c r="J13" s="6">
        <f t="shared" si="0"/>
        <v>0.44937624922461916</v>
      </c>
      <c r="K13" s="7">
        <f t="shared" si="1"/>
        <v>29830</v>
      </c>
      <c r="L13" s="6">
        <v>19</v>
      </c>
      <c r="M13" s="6">
        <v>81</v>
      </c>
      <c r="N13" s="6">
        <v>19.3</v>
      </c>
      <c r="O13" s="6">
        <v>1.3</v>
      </c>
      <c r="P13" s="6">
        <v>73.599999999999994</v>
      </c>
      <c r="Q13" s="6">
        <v>13.8</v>
      </c>
      <c r="R13" s="6">
        <v>3.1</v>
      </c>
      <c r="S13" s="6">
        <v>3.8</v>
      </c>
      <c r="T13" s="6">
        <v>12.1</v>
      </c>
      <c r="U13" s="6">
        <v>5.8</v>
      </c>
      <c r="V13" s="6" t="s">
        <v>91</v>
      </c>
    </row>
    <row r="14" spans="1:22" x14ac:dyDescent="0.35">
      <c r="A14" t="s">
        <v>12</v>
      </c>
      <c r="B14" s="4">
        <v>66512</v>
      </c>
      <c r="C14" s="4">
        <v>63798</v>
      </c>
      <c r="D14" s="3">
        <v>599</v>
      </c>
      <c r="E14" s="4">
        <v>63798</v>
      </c>
      <c r="F14" s="4">
        <v>41748</v>
      </c>
      <c r="G14" s="5">
        <v>0.65439999999999998</v>
      </c>
      <c r="H14" s="6">
        <v>48844</v>
      </c>
      <c r="I14" s="6">
        <v>19.600000000000001</v>
      </c>
      <c r="J14" s="6">
        <f t="shared" si="0"/>
        <v>0.90058936733221073</v>
      </c>
      <c r="K14" s="7">
        <f t="shared" si="1"/>
        <v>22050</v>
      </c>
      <c r="L14" s="6">
        <v>28.5</v>
      </c>
      <c r="M14" s="6">
        <v>71.5</v>
      </c>
      <c r="N14" s="6">
        <v>13.5</v>
      </c>
      <c r="O14" s="6">
        <v>2.5</v>
      </c>
      <c r="P14" s="6">
        <v>30.4</v>
      </c>
      <c r="Q14" s="6">
        <v>85.6</v>
      </c>
      <c r="R14" s="6">
        <v>1.5</v>
      </c>
      <c r="S14" s="6">
        <v>1.6</v>
      </c>
      <c r="T14" s="6">
        <v>26.2</v>
      </c>
      <c r="U14" s="6">
        <v>37.799999999999997</v>
      </c>
      <c r="V14" s="6" t="s">
        <v>92</v>
      </c>
    </row>
    <row r="15" spans="1:22" x14ac:dyDescent="0.35">
      <c r="A15" t="s">
        <v>13</v>
      </c>
      <c r="B15" s="4">
        <v>12379</v>
      </c>
      <c r="C15" s="4">
        <v>10194</v>
      </c>
      <c r="D15" s="3">
        <v>153</v>
      </c>
      <c r="E15" s="4">
        <v>10194</v>
      </c>
      <c r="F15" s="4">
        <v>4994</v>
      </c>
      <c r="G15" s="5">
        <v>0.4899</v>
      </c>
      <c r="H15" s="6">
        <v>7923</v>
      </c>
      <c r="I15" s="6">
        <v>10.5</v>
      </c>
      <c r="J15" s="6">
        <f t="shared" si="0"/>
        <v>1.2359641328055579</v>
      </c>
      <c r="K15" s="7">
        <f t="shared" si="1"/>
        <v>5200</v>
      </c>
      <c r="L15" s="6">
        <v>20.3</v>
      </c>
      <c r="M15" s="6">
        <v>79.7</v>
      </c>
      <c r="N15" s="6">
        <v>24.4</v>
      </c>
      <c r="O15" s="6">
        <v>1</v>
      </c>
      <c r="P15" s="6">
        <v>64.599999999999994</v>
      </c>
      <c r="Q15" s="6">
        <v>23.8</v>
      </c>
      <c r="R15" s="6">
        <v>1.8</v>
      </c>
      <c r="S15" s="6">
        <v>10.4</v>
      </c>
      <c r="T15" s="6">
        <v>14.6</v>
      </c>
      <c r="U15" s="6">
        <v>6.7</v>
      </c>
      <c r="V15" s="6" t="s">
        <v>93</v>
      </c>
    </row>
    <row r="16" spans="1:22" x14ac:dyDescent="0.35">
      <c r="A16" t="s">
        <v>14</v>
      </c>
      <c r="B16" s="4">
        <v>341932</v>
      </c>
      <c r="C16" s="4">
        <v>334444</v>
      </c>
      <c r="D16" s="3">
        <v>479</v>
      </c>
      <c r="E16" s="4">
        <v>334444</v>
      </c>
      <c r="F16" s="4">
        <v>246489</v>
      </c>
      <c r="G16" s="5">
        <v>0.73699999999999999</v>
      </c>
      <c r="H16" s="6">
        <v>281416</v>
      </c>
      <c r="I16" s="6">
        <v>19</v>
      </c>
      <c r="J16" s="6">
        <f t="shared" si="0"/>
        <v>0.14008633295509049</v>
      </c>
      <c r="K16" s="7">
        <f t="shared" si="1"/>
        <v>87955</v>
      </c>
      <c r="L16" s="6">
        <v>28.8</v>
      </c>
      <c r="M16" s="6">
        <v>71.2</v>
      </c>
      <c r="N16" s="6">
        <v>11.6</v>
      </c>
      <c r="O16" s="6">
        <v>5.2</v>
      </c>
      <c r="P16" s="6">
        <v>49.2</v>
      </c>
      <c r="Q16" s="6">
        <v>55.7</v>
      </c>
      <c r="R16" s="6">
        <v>5.0999999999999996</v>
      </c>
      <c r="S16" s="6">
        <v>1.2</v>
      </c>
      <c r="T16" s="6">
        <v>21.3</v>
      </c>
      <c r="U16" s="6">
        <v>17.899999999999999</v>
      </c>
      <c r="V16" s="6" t="s">
        <v>94</v>
      </c>
    </row>
    <row r="17" spans="1:22" x14ac:dyDescent="0.35">
      <c r="A17" t="s">
        <v>15</v>
      </c>
      <c r="B17" s="4">
        <v>51766</v>
      </c>
      <c r="C17" s="4">
        <v>51688</v>
      </c>
      <c r="D17" s="3">
        <v>5</v>
      </c>
      <c r="E17" s="4">
        <v>51688</v>
      </c>
      <c r="F17" s="4">
        <v>34215</v>
      </c>
      <c r="G17" s="5">
        <v>0.66200000000000003</v>
      </c>
      <c r="H17" s="6">
        <v>43736</v>
      </c>
      <c r="I17" s="6">
        <v>16.8</v>
      </c>
      <c r="J17" s="6">
        <f t="shared" si="0"/>
        <v>9.658849437854963E-3</v>
      </c>
      <c r="K17" s="7">
        <f t="shared" si="1"/>
        <v>17473</v>
      </c>
      <c r="L17" s="6">
        <v>27.1</v>
      </c>
      <c r="M17" s="6">
        <v>72.900000000000006</v>
      </c>
      <c r="N17" s="6">
        <v>10.6</v>
      </c>
      <c r="O17" s="6">
        <v>6.4</v>
      </c>
      <c r="P17" s="6">
        <v>46</v>
      </c>
      <c r="Q17" s="6">
        <v>57.5</v>
      </c>
      <c r="R17" s="6">
        <v>3.5</v>
      </c>
      <c r="S17" s="6">
        <v>1.9</v>
      </c>
      <c r="T17" s="6">
        <v>20.3</v>
      </c>
      <c r="U17" s="6">
        <v>21.6</v>
      </c>
      <c r="V17" s="6" t="s">
        <v>95</v>
      </c>
    </row>
    <row r="18" spans="1:22" x14ac:dyDescent="0.35">
      <c r="A18" t="s">
        <v>16</v>
      </c>
      <c r="B18" s="4">
        <v>38051</v>
      </c>
      <c r="C18" s="4">
        <v>35357</v>
      </c>
      <c r="D18" s="3">
        <v>666</v>
      </c>
      <c r="E18" s="4">
        <v>35357</v>
      </c>
      <c r="F18" s="4">
        <v>16840</v>
      </c>
      <c r="G18" s="5">
        <v>0.4763</v>
      </c>
      <c r="H18" s="6">
        <v>26364</v>
      </c>
      <c r="I18" s="6">
        <v>16.7</v>
      </c>
      <c r="J18" s="6">
        <f t="shared" si="0"/>
        <v>1.7502825155712072</v>
      </c>
      <c r="K18" s="7">
        <f t="shared" si="1"/>
        <v>18517</v>
      </c>
      <c r="L18" s="6">
        <v>21.8</v>
      </c>
      <c r="M18" s="6">
        <v>78.2</v>
      </c>
      <c r="N18" s="6">
        <v>23.6</v>
      </c>
      <c r="O18" s="6">
        <v>2.2000000000000002</v>
      </c>
      <c r="P18" s="6">
        <v>69.2</v>
      </c>
      <c r="Q18" s="6">
        <v>23.8</v>
      </c>
      <c r="R18" s="6">
        <v>1.1000000000000001</v>
      </c>
      <c r="S18" s="6">
        <v>2.8</v>
      </c>
      <c r="T18" s="6">
        <v>11.7</v>
      </c>
      <c r="U18" s="6">
        <v>12.7</v>
      </c>
      <c r="V18" s="6" t="s">
        <v>96</v>
      </c>
    </row>
    <row r="19" spans="1:22" x14ac:dyDescent="0.35">
      <c r="A19" t="s">
        <v>17</v>
      </c>
      <c r="B19" s="4">
        <v>13896</v>
      </c>
      <c r="C19" s="4">
        <v>11593</v>
      </c>
      <c r="D19" s="3">
        <v>642</v>
      </c>
      <c r="E19" s="4">
        <v>11593</v>
      </c>
      <c r="F19" s="4">
        <v>3725</v>
      </c>
      <c r="G19" s="5">
        <v>0.32129999999999997</v>
      </c>
      <c r="H19" s="6">
        <v>9060</v>
      </c>
      <c r="I19" s="6">
        <v>13.7</v>
      </c>
      <c r="J19" s="6">
        <f t="shared" si="0"/>
        <v>4.6200345423143352</v>
      </c>
      <c r="K19" s="7">
        <f t="shared" si="1"/>
        <v>7868</v>
      </c>
      <c r="L19" s="6">
        <v>17.899999999999999</v>
      </c>
      <c r="M19" s="6">
        <v>82.1</v>
      </c>
      <c r="N19" s="6">
        <v>16</v>
      </c>
      <c r="O19" s="6">
        <v>8.3000000000000007</v>
      </c>
      <c r="P19" s="6">
        <v>68.900000000000006</v>
      </c>
      <c r="Q19" s="6">
        <v>22.5</v>
      </c>
      <c r="R19" s="6">
        <v>1.7</v>
      </c>
      <c r="S19" s="6">
        <v>2.7</v>
      </c>
      <c r="T19" s="6">
        <v>14</v>
      </c>
      <c r="U19" s="6">
        <v>3.5</v>
      </c>
      <c r="V19" s="6" t="s">
        <v>97</v>
      </c>
    </row>
    <row r="20" spans="1:22" x14ac:dyDescent="0.35">
      <c r="A20" t="s">
        <v>18</v>
      </c>
      <c r="B20" s="4">
        <v>3992840</v>
      </c>
      <c r="C20" s="4">
        <v>3882638</v>
      </c>
      <c r="D20" s="4">
        <v>18766</v>
      </c>
      <c r="E20" s="4">
        <v>3882638</v>
      </c>
      <c r="F20" s="4">
        <v>3130009</v>
      </c>
      <c r="G20" s="5">
        <v>0.80620000000000003</v>
      </c>
      <c r="H20" s="6">
        <v>3390254</v>
      </c>
      <c r="I20" s="6">
        <v>13.6</v>
      </c>
      <c r="J20" s="6">
        <f t="shared" si="0"/>
        <v>0.46999128439907434</v>
      </c>
      <c r="K20" s="7">
        <f t="shared" si="1"/>
        <v>752629</v>
      </c>
      <c r="L20" s="6">
        <v>20.9</v>
      </c>
      <c r="M20" s="6">
        <v>79.099999999999994</v>
      </c>
      <c r="N20" s="6">
        <v>14.7</v>
      </c>
      <c r="O20" s="6">
        <v>7.8</v>
      </c>
      <c r="P20" s="6">
        <v>35.4</v>
      </c>
      <c r="Q20" s="6">
        <v>48.3</v>
      </c>
      <c r="R20" s="6">
        <v>15</v>
      </c>
      <c r="S20" s="6">
        <v>1.3</v>
      </c>
      <c r="T20" s="6">
        <v>16.7</v>
      </c>
      <c r="U20" s="6">
        <v>23.6</v>
      </c>
      <c r="V20" s="6" t="s">
        <v>98</v>
      </c>
    </row>
    <row r="21" spans="1:22" x14ac:dyDescent="0.35">
      <c r="A21" t="s">
        <v>19</v>
      </c>
      <c r="B21" s="4">
        <v>59043</v>
      </c>
      <c r="C21" s="4">
        <v>58110</v>
      </c>
      <c r="D21" s="3">
        <v>348</v>
      </c>
      <c r="E21" s="4">
        <v>58110</v>
      </c>
      <c r="F21" s="4">
        <v>33763</v>
      </c>
      <c r="G21" s="5">
        <v>0.58099999999999996</v>
      </c>
      <c r="H21" s="6">
        <v>44513</v>
      </c>
      <c r="I21" s="6">
        <v>19.899999999999999</v>
      </c>
      <c r="J21" s="6">
        <f t="shared" si="0"/>
        <v>0.58940094507392915</v>
      </c>
      <c r="K21" s="7">
        <f t="shared" si="1"/>
        <v>24347</v>
      </c>
      <c r="L21" s="6">
        <v>27.4</v>
      </c>
      <c r="M21" s="6">
        <v>72.599999999999994</v>
      </c>
      <c r="N21" s="6">
        <v>14.4</v>
      </c>
      <c r="O21" s="6">
        <v>2.6</v>
      </c>
      <c r="P21" s="6">
        <v>44.1</v>
      </c>
      <c r="Q21" s="6">
        <v>60.4</v>
      </c>
      <c r="R21" s="6">
        <v>2.5</v>
      </c>
      <c r="S21" s="6">
        <v>1.9</v>
      </c>
      <c r="T21" s="6">
        <v>18.399999999999999</v>
      </c>
      <c r="U21" s="6">
        <v>30.3</v>
      </c>
      <c r="V21" s="6" t="s">
        <v>99</v>
      </c>
    </row>
    <row r="22" spans="1:22" x14ac:dyDescent="0.35">
      <c r="A22" t="s">
        <v>20</v>
      </c>
      <c r="B22" s="4">
        <v>128776</v>
      </c>
      <c r="C22" s="4">
        <v>127566</v>
      </c>
      <c r="D22" s="3">
        <v>155</v>
      </c>
      <c r="E22" s="4">
        <v>127566</v>
      </c>
      <c r="F22" s="4">
        <v>94724</v>
      </c>
      <c r="G22" s="5">
        <v>0.74250000000000005</v>
      </c>
      <c r="H22" s="6">
        <v>103201</v>
      </c>
      <c r="I22" s="6">
        <v>7.8</v>
      </c>
      <c r="J22" s="6">
        <f t="shared" si="0"/>
        <v>0.1203640429893769</v>
      </c>
      <c r="K22" s="7">
        <f t="shared" si="1"/>
        <v>32842</v>
      </c>
      <c r="L22" s="6">
        <v>19.7</v>
      </c>
      <c r="M22" s="6">
        <v>80.3</v>
      </c>
      <c r="N22" s="6">
        <v>23.3</v>
      </c>
      <c r="O22" s="6">
        <v>2.2999999999999998</v>
      </c>
      <c r="P22" s="6">
        <v>70.400000000000006</v>
      </c>
      <c r="Q22" s="6">
        <v>19</v>
      </c>
      <c r="R22" s="6">
        <v>6.2</v>
      </c>
      <c r="S22" s="6">
        <v>0.6</v>
      </c>
      <c r="T22" s="6">
        <v>10.7</v>
      </c>
      <c r="U22" s="6">
        <v>9.6</v>
      </c>
      <c r="V22" s="6" t="s">
        <v>100</v>
      </c>
    </row>
    <row r="23" spans="1:22" x14ac:dyDescent="0.35">
      <c r="A23" t="s">
        <v>21</v>
      </c>
      <c r="B23" s="4">
        <v>11225</v>
      </c>
      <c r="C23" s="4">
        <v>7036</v>
      </c>
      <c r="D23" s="4">
        <v>1339</v>
      </c>
      <c r="E23" s="4">
        <v>7036</v>
      </c>
      <c r="F23" s="3">
        <v>632</v>
      </c>
      <c r="G23" s="5">
        <v>8.9800000000000005E-2</v>
      </c>
      <c r="H23" s="6">
        <v>7515</v>
      </c>
      <c r="I23" s="6">
        <v>13.9</v>
      </c>
      <c r="J23" s="6">
        <f t="shared" si="0"/>
        <v>11.928730512249443</v>
      </c>
      <c r="K23" s="7">
        <f t="shared" si="1"/>
        <v>6404</v>
      </c>
      <c r="L23" s="6">
        <v>16.8</v>
      </c>
      <c r="M23" s="6">
        <v>83.2</v>
      </c>
      <c r="N23" s="6">
        <v>29.4</v>
      </c>
      <c r="O23" s="6">
        <v>1.3</v>
      </c>
      <c r="P23" s="6">
        <v>79.7</v>
      </c>
      <c r="Q23" s="6">
        <v>13.7</v>
      </c>
      <c r="R23" s="6">
        <v>1.6</v>
      </c>
      <c r="S23" s="6">
        <v>1.8</v>
      </c>
      <c r="T23" s="6">
        <v>10</v>
      </c>
      <c r="U23" s="6">
        <v>5.5</v>
      </c>
      <c r="V23" s="6" t="s">
        <v>101</v>
      </c>
    </row>
    <row r="24" spans="1:22" x14ac:dyDescent="0.35">
      <c r="A24" t="s">
        <v>22</v>
      </c>
      <c r="B24" s="4">
        <v>52435</v>
      </c>
      <c r="C24" s="4">
        <v>45209</v>
      </c>
      <c r="D24" s="4">
        <v>1599</v>
      </c>
      <c r="E24" s="4">
        <v>45209</v>
      </c>
      <c r="F24" s="4">
        <v>21317</v>
      </c>
      <c r="G24" s="5">
        <v>0.47149999999999997</v>
      </c>
      <c r="H24" s="6">
        <v>34570</v>
      </c>
      <c r="I24" s="6">
        <v>15.2</v>
      </c>
      <c r="J24" s="6">
        <f t="shared" si="0"/>
        <v>3.0494898445694667</v>
      </c>
      <c r="K24" s="7">
        <f t="shared" si="1"/>
        <v>23892</v>
      </c>
      <c r="L24" s="6">
        <v>21.1</v>
      </c>
      <c r="M24" s="6">
        <v>78.900000000000006</v>
      </c>
      <c r="N24" s="6">
        <v>24.1</v>
      </c>
      <c r="O24" s="6">
        <v>0.9</v>
      </c>
      <c r="P24" s="6">
        <v>68.3</v>
      </c>
      <c r="Q24" s="6">
        <v>26.9</v>
      </c>
      <c r="R24" s="6">
        <v>2.2000000000000002</v>
      </c>
      <c r="S24" s="6">
        <v>3.5</v>
      </c>
      <c r="T24" s="6">
        <v>16.8</v>
      </c>
      <c r="U24" s="6">
        <v>8.1</v>
      </c>
      <c r="V24" s="6" t="s">
        <v>102</v>
      </c>
    </row>
    <row r="25" spans="1:22" x14ac:dyDescent="0.35">
      <c r="A25" t="s">
        <v>23</v>
      </c>
      <c r="B25" s="4">
        <v>102766</v>
      </c>
      <c r="C25" s="4">
        <v>102704</v>
      </c>
      <c r="D25" s="3">
        <v>0</v>
      </c>
      <c r="E25" s="4">
        <v>102704</v>
      </c>
      <c r="F25" s="4">
        <v>67037</v>
      </c>
      <c r="G25" s="5">
        <v>0.65269999999999995</v>
      </c>
      <c r="H25" s="6">
        <v>84605</v>
      </c>
      <c r="I25" s="6">
        <v>18.399999999999999</v>
      </c>
      <c r="J25" s="6">
        <f t="shared" si="0"/>
        <v>0</v>
      </c>
      <c r="K25" s="7">
        <f t="shared" si="1"/>
        <v>35667</v>
      </c>
      <c r="L25" s="6">
        <v>29.1</v>
      </c>
      <c r="M25" s="6">
        <v>70.900000000000006</v>
      </c>
      <c r="N25" s="6">
        <v>11.6</v>
      </c>
      <c r="O25" s="6">
        <v>2.9</v>
      </c>
      <c r="P25" s="6">
        <v>36</v>
      </c>
      <c r="Q25" s="6">
        <v>62.7</v>
      </c>
      <c r="R25" s="6">
        <v>7.1</v>
      </c>
      <c r="S25" s="6">
        <v>1.4</v>
      </c>
      <c r="T25" s="6">
        <v>12.3</v>
      </c>
      <c r="U25" s="6">
        <v>39.9</v>
      </c>
      <c r="V25" s="6" t="s">
        <v>103</v>
      </c>
    </row>
    <row r="26" spans="1:22" x14ac:dyDescent="0.35">
      <c r="A26" t="s">
        <v>24</v>
      </c>
      <c r="B26" s="4">
        <v>5836</v>
      </c>
      <c r="C26" s="4">
        <v>4723</v>
      </c>
      <c r="D26" s="3">
        <v>477</v>
      </c>
      <c r="E26" s="4">
        <v>4723</v>
      </c>
      <c r="F26" s="4">
        <v>1161</v>
      </c>
      <c r="G26" s="5">
        <v>0.24579999999999999</v>
      </c>
      <c r="H26" s="6">
        <v>3264</v>
      </c>
      <c r="I26" s="6">
        <v>20.3</v>
      </c>
      <c r="J26" s="6">
        <f t="shared" si="0"/>
        <v>8.1734064427690196</v>
      </c>
      <c r="K26" s="7">
        <f t="shared" si="1"/>
        <v>3562</v>
      </c>
      <c r="L26" s="6">
        <v>19.2</v>
      </c>
      <c r="M26" s="6">
        <v>80.8</v>
      </c>
      <c r="N26" s="6">
        <v>31</v>
      </c>
      <c r="O26" s="6">
        <v>0.8</v>
      </c>
      <c r="P26" s="6">
        <v>80.7</v>
      </c>
      <c r="Q26" s="6">
        <v>15.3</v>
      </c>
      <c r="R26" s="6">
        <v>1.2</v>
      </c>
      <c r="S26" s="6">
        <v>2.5</v>
      </c>
      <c r="T26" s="6">
        <v>9.1999999999999993</v>
      </c>
      <c r="U26" s="6">
        <v>5.7</v>
      </c>
      <c r="V26" s="6" t="s">
        <v>104</v>
      </c>
    </row>
    <row r="27" spans="1:22" x14ac:dyDescent="0.35">
      <c r="A27" t="s">
        <v>25</v>
      </c>
      <c r="B27" s="4">
        <v>11434</v>
      </c>
      <c r="C27" s="4">
        <v>9310</v>
      </c>
      <c r="D27" s="3">
        <v>447</v>
      </c>
      <c r="E27" s="4">
        <v>9310</v>
      </c>
      <c r="F27" s="4">
        <v>9079</v>
      </c>
      <c r="G27" s="5">
        <v>0.97519999999999996</v>
      </c>
      <c r="H27" s="6">
        <v>5521</v>
      </c>
      <c r="I27" s="6">
        <v>11</v>
      </c>
      <c r="J27" s="6">
        <f t="shared" si="0"/>
        <v>3.9093930383068041</v>
      </c>
      <c r="K27" s="7">
        <f t="shared" si="1"/>
        <v>231</v>
      </c>
      <c r="L27" s="6">
        <v>18.399999999999999</v>
      </c>
      <c r="M27" s="6">
        <v>81.599999999999994</v>
      </c>
      <c r="N27" s="6">
        <v>16.399999999999999</v>
      </c>
      <c r="O27" s="6">
        <v>0.1</v>
      </c>
      <c r="P27" s="6">
        <v>74.099999999999994</v>
      </c>
      <c r="Q27" s="6">
        <v>26.7</v>
      </c>
      <c r="R27" s="6">
        <v>2.2000000000000002</v>
      </c>
      <c r="S27" s="6">
        <v>1.6</v>
      </c>
      <c r="T27" s="6">
        <v>16</v>
      </c>
      <c r="U27" s="6">
        <v>6</v>
      </c>
      <c r="V27" s="6" t="s">
        <v>105</v>
      </c>
    </row>
    <row r="28" spans="1:22" x14ac:dyDescent="0.35">
      <c r="A28" t="s">
        <v>26</v>
      </c>
      <c r="B28" s="4">
        <v>163659</v>
      </c>
      <c r="C28" s="4">
        <v>162513</v>
      </c>
      <c r="D28" s="3">
        <v>33</v>
      </c>
      <c r="E28" s="4">
        <v>162513</v>
      </c>
      <c r="F28" s="4">
        <v>114079</v>
      </c>
      <c r="G28" s="5">
        <v>0.70199999999999996</v>
      </c>
      <c r="H28" s="6">
        <v>132046</v>
      </c>
      <c r="I28" s="6">
        <v>12.6</v>
      </c>
      <c r="J28" s="6">
        <f t="shared" si="0"/>
        <v>2.0163877330302643E-2</v>
      </c>
      <c r="K28" s="7">
        <f t="shared" si="1"/>
        <v>48434</v>
      </c>
      <c r="L28" s="6">
        <v>26</v>
      </c>
      <c r="M28" s="6">
        <v>74</v>
      </c>
      <c r="N28" s="6">
        <v>14.5</v>
      </c>
      <c r="O28" s="6">
        <v>2.2000000000000002</v>
      </c>
      <c r="P28" s="6">
        <v>36.5</v>
      </c>
      <c r="Q28" s="6">
        <v>61</v>
      </c>
      <c r="R28" s="6">
        <v>5.8</v>
      </c>
      <c r="S28" s="6">
        <v>0.8</v>
      </c>
      <c r="T28" s="6">
        <v>13.5</v>
      </c>
      <c r="U28" s="6">
        <v>40.700000000000003</v>
      </c>
      <c r="V28" s="6" t="s">
        <v>106</v>
      </c>
    </row>
    <row r="29" spans="1:22" x14ac:dyDescent="0.35">
      <c r="A29" t="s">
        <v>27</v>
      </c>
      <c r="B29" s="4">
        <v>63128</v>
      </c>
      <c r="C29" s="4">
        <v>61146</v>
      </c>
      <c r="D29" s="3">
        <v>221</v>
      </c>
      <c r="E29" s="4">
        <v>61146</v>
      </c>
      <c r="F29" s="4">
        <v>44315</v>
      </c>
      <c r="G29" s="5">
        <v>0.72470000000000001</v>
      </c>
      <c r="H29" s="6">
        <v>49663</v>
      </c>
      <c r="I29" s="6">
        <v>8.4</v>
      </c>
      <c r="J29" s="6">
        <f t="shared" si="0"/>
        <v>0.35008237232289952</v>
      </c>
      <c r="K29" s="7">
        <f t="shared" si="1"/>
        <v>16831</v>
      </c>
      <c r="L29" s="6">
        <v>19.899999999999999</v>
      </c>
      <c r="M29" s="6">
        <v>80.099999999999994</v>
      </c>
      <c r="N29" s="6">
        <v>20.6</v>
      </c>
      <c r="O29" s="6">
        <v>1.9</v>
      </c>
      <c r="P29" s="6">
        <v>60.1</v>
      </c>
      <c r="Q29" s="6">
        <v>35.9</v>
      </c>
      <c r="R29" s="6">
        <v>8</v>
      </c>
      <c r="S29" s="6">
        <v>0.9</v>
      </c>
      <c r="T29" s="6">
        <v>14</v>
      </c>
      <c r="U29" s="6">
        <v>14.8</v>
      </c>
      <c r="V29" s="6" t="s">
        <v>107</v>
      </c>
    </row>
    <row r="30" spans="1:22" x14ac:dyDescent="0.35">
      <c r="A30" t="s">
        <v>28</v>
      </c>
      <c r="B30" s="4">
        <v>60605</v>
      </c>
      <c r="C30" s="4">
        <v>56854</v>
      </c>
      <c r="D30" s="3">
        <v>588</v>
      </c>
      <c r="E30" s="4">
        <v>56854</v>
      </c>
      <c r="F30" s="4">
        <v>35123</v>
      </c>
      <c r="G30" s="5">
        <v>0.61780000000000002</v>
      </c>
      <c r="H30" s="6">
        <v>41873</v>
      </c>
      <c r="I30" s="6">
        <v>10.6</v>
      </c>
      <c r="J30" s="6">
        <f t="shared" si="0"/>
        <v>0.97021697879712887</v>
      </c>
      <c r="K30" s="7">
        <f t="shared" si="1"/>
        <v>21731</v>
      </c>
      <c r="L30" s="6">
        <v>17.100000000000001</v>
      </c>
      <c r="M30" s="6">
        <v>82.9</v>
      </c>
      <c r="N30" s="6">
        <v>28.9</v>
      </c>
      <c r="O30" s="6">
        <v>0.3</v>
      </c>
      <c r="P30" s="6">
        <v>85.7</v>
      </c>
      <c r="Q30" s="6">
        <v>10.5</v>
      </c>
      <c r="R30" s="6">
        <v>1.8</v>
      </c>
      <c r="S30" s="6">
        <v>0.5</v>
      </c>
      <c r="T30" s="6">
        <v>9.3000000000000007</v>
      </c>
      <c r="U30" s="6">
        <v>2.2999999999999998</v>
      </c>
      <c r="V30" s="6" t="s">
        <v>108</v>
      </c>
    </row>
    <row r="31" spans="1:22" x14ac:dyDescent="0.35">
      <c r="A31" t="s">
        <v>29</v>
      </c>
      <c r="B31" s="4">
        <v>1294221</v>
      </c>
      <c r="C31" s="4">
        <v>1258242</v>
      </c>
      <c r="D31" s="4">
        <v>4530</v>
      </c>
      <c r="E31" s="4">
        <v>1258242</v>
      </c>
      <c r="F31" s="4">
        <v>1029412</v>
      </c>
      <c r="G31" s="5">
        <v>0.81810000000000005</v>
      </c>
      <c r="H31" s="6">
        <v>1074654</v>
      </c>
      <c r="I31" s="6">
        <v>9.5</v>
      </c>
      <c r="J31" s="6">
        <f t="shared" si="0"/>
        <v>0.35001750087504374</v>
      </c>
      <c r="K31" s="7">
        <f t="shared" si="1"/>
        <v>228830</v>
      </c>
      <c r="L31" s="6">
        <v>21.3</v>
      </c>
      <c r="M31" s="6">
        <v>78.7</v>
      </c>
      <c r="N31" s="6">
        <v>15.8</v>
      </c>
      <c r="O31" s="6">
        <v>1.6</v>
      </c>
      <c r="P31" s="6">
        <v>46.4</v>
      </c>
      <c r="Q31" s="6">
        <v>34.1</v>
      </c>
      <c r="R31" s="6">
        <v>21.9</v>
      </c>
      <c r="S31" s="6">
        <v>0.8</v>
      </c>
      <c r="T31" s="6">
        <v>14.9</v>
      </c>
      <c r="U31" s="6">
        <v>14.1</v>
      </c>
      <c r="V31" s="6" t="s">
        <v>109</v>
      </c>
    </row>
    <row r="32" spans="1:22" x14ac:dyDescent="0.35">
      <c r="A32" t="s">
        <v>30</v>
      </c>
      <c r="B32" s="4">
        <v>199726</v>
      </c>
      <c r="C32" s="4">
        <v>197229</v>
      </c>
      <c r="D32" s="3">
        <v>260</v>
      </c>
      <c r="E32" s="4">
        <v>197229</v>
      </c>
      <c r="F32" s="4">
        <v>131772</v>
      </c>
      <c r="G32" s="5">
        <v>0.66810000000000003</v>
      </c>
      <c r="H32" s="6">
        <v>155422</v>
      </c>
      <c r="I32" s="6">
        <v>6.7</v>
      </c>
      <c r="J32" s="6">
        <f t="shared" si="0"/>
        <v>0.13017834433173447</v>
      </c>
      <c r="K32" s="7">
        <f t="shared" si="1"/>
        <v>65457</v>
      </c>
      <c r="L32" s="6">
        <v>22</v>
      </c>
      <c r="M32" s="6">
        <v>78</v>
      </c>
      <c r="N32" s="6">
        <v>20.2</v>
      </c>
      <c r="O32" s="6">
        <v>1.7</v>
      </c>
      <c r="P32" s="6">
        <v>72.5</v>
      </c>
      <c r="Q32" s="6">
        <v>15.4</v>
      </c>
      <c r="R32" s="6">
        <v>9</v>
      </c>
      <c r="S32" s="6">
        <v>0.5</v>
      </c>
      <c r="T32" s="6">
        <v>12.2</v>
      </c>
      <c r="U32" s="6">
        <v>4</v>
      </c>
      <c r="V32" s="6" t="s">
        <v>110</v>
      </c>
    </row>
    <row r="33" spans="1:22" x14ac:dyDescent="0.35">
      <c r="A33" t="s">
        <v>31</v>
      </c>
      <c r="B33" s="4">
        <v>17402</v>
      </c>
      <c r="C33" s="4">
        <v>14898</v>
      </c>
      <c r="D33" s="3">
        <v>508</v>
      </c>
      <c r="E33" s="4">
        <v>14898</v>
      </c>
      <c r="F33" s="4">
        <v>5531</v>
      </c>
      <c r="G33" s="5">
        <v>0.37130000000000002</v>
      </c>
      <c r="H33" s="6">
        <v>8055</v>
      </c>
      <c r="I33" s="6">
        <v>10.7</v>
      </c>
      <c r="J33" s="6">
        <f t="shared" si="0"/>
        <v>2.9192046891161936</v>
      </c>
      <c r="K33" s="7">
        <f t="shared" si="1"/>
        <v>9367</v>
      </c>
      <c r="L33" s="6">
        <v>17.5</v>
      </c>
      <c r="M33" s="6">
        <v>82.5</v>
      </c>
      <c r="N33" s="6">
        <v>29.8</v>
      </c>
      <c r="O33" s="6">
        <v>1.4</v>
      </c>
      <c r="P33" s="6">
        <v>87.1</v>
      </c>
      <c r="Q33" s="6">
        <v>10</v>
      </c>
      <c r="R33" s="6">
        <v>0.9</v>
      </c>
      <c r="S33" s="6">
        <v>1.7</v>
      </c>
      <c r="T33" s="6">
        <v>7.6</v>
      </c>
      <c r="U33" s="6">
        <v>1.1000000000000001</v>
      </c>
      <c r="V33" s="6" t="s">
        <v>111</v>
      </c>
    </row>
    <row r="34" spans="1:22" x14ac:dyDescent="0.35">
      <c r="A34" t="s">
        <v>32</v>
      </c>
      <c r="B34" s="4">
        <v>967930</v>
      </c>
      <c r="C34" s="4">
        <v>924083</v>
      </c>
      <c r="D34" s="4">
        <v>3097</v>
      </c>
      <c r="E34" s="4">
        <v>924083</v>
      </c>
      <c r="F34" s="4">
        <v>760446</v>
      </c>
      <c r="G34" s="5">
        <v>0.82289999999999996</v>
      </c>
      <c r="H34" s="6">
        <v>762234</v>
      </c>
      <c r="I34" s="6">
        <v>11.1</v>
      </c>
      <c r="J34" s="6">
        <f t="shared" si="0"/>
        <v>0.31996115421569743</v>
      </c>
      <c r="K34" s="7">
        <f t="shared" si="1"/>
        <v>163637</v>
      </c>
      <c r="L34" s="6">
        <v>24.4</v>
      </c>
      <c r="M34" s="6">
        <v>75.599999999999994</v>
      </c>
      <c r="N34" s="6">
        <v>15.1</v>
      </c>
      <c r="O34" s="6">
        <v>6.5</v>
      </c>
      <c r="P34" s="6">
        <v>42.2</v>
      </c>
      <c r="Q34" s="6">
        <v>50.6</v>
      </c>
      <c r="R34" s="6">
        <v>7</v>
      </c>
      <c r="S34" s="6">
        <v>1.2</v>
      </c>
      <c r="T34" s="6">
        <v>18.5</v>
      </c>
      <c r="U34" s="6">
        <v>24.3</v>
      </c>
      <c r="V34" s="6" t="s">
        <v>112</v>
      </c>
    </row>
    <row r="35" spans="1:22" x14ac:dyDescent="0.35">
      <c r="A35" t="s">
        <v>33</v>
      </c>
      <c r="B35" s="4">
        <v>650489</v>
      </c>
      <c r="C35" s="4">
        <v>649643</v>
      </c>
      <c r="D35" s="3">
        <v>0</v>
      </c>
      <c r="E35" s="4">
        <v>649643</v>
      </c>
      <c r="F35" s="4">
        <v>493361</v>
      </c>
      <c r="G35" s="5">
        <v>0.75939999999999996</v>
      </c>
      <c r="H35" s="6">
        <v>568223</v>
      </c>
      <c r="I35" s="6">
        <v>12.6</v>
      </c>
      <c r="J35" s="6">
        <f t="shared" si="0"/>
        <v>0</v>
      </c>
      <c r="K35" s="7">
        <f t="shared" si="1"/>
        <v>156282</v>
      </c>
      <c r="L35" s="6">
        <v>23.1</v>
      </c>
      <c r="M35" s="6">
        <v>76.900000000000006</v>
      </c>
      <c r="N35" s="6">
        <v>14.9</v>
      </c>
      <c r="O35" s="6">
        <v>9.5</v>
      </c>
      <c r="P35" s="6">
        <v>47.2</v>
      </c>
      <c r="Q35" s="6">
        <v>24</v>
      </c>
      <c r="R35" s="6">
        <v>17.5</v>
      </c>
      <c r="S35" s="6">
        <v>0.9</v>
      </c>
      <c r="T35" s="6">
        <v>13.5</v>
      </c>
      <c r="U35" s="6">
        <v>10.3</v>
      </c>
      <c r="V35" s="6" t="s">
        <v>113</v>
      </c>
    </row>
    <row r="36" spans="1:22" x14ac:dyDescent="0.35">
      <c r="A36" t="s">
        <v>34</v>
      </c>
      <c r="B36" s="4">
        <v>23881</v>
      </c>
      <c r="C36" s="4">
        <v>23477</v>
      </c>
      <c r="D36" s="3">
        <v>41</v>
      </c>
      <c r="E36" s="4">
        <v>23477</v>
      </c>
      <c r="F36" s="4">
        <v>17086</v>
      </c>
      <c r="G36" s="5">
        <v>0.7278</v>
      </c>
      <c r="H36" s="6">
        <v>20188</v>
      </c>
      <c r="I36" s="6">
        <v>7.8</v>
      </c>
      <c r="J36" s="6">
        <f t="shared" si="0"/>
        <v>0.17168460282232736</v>
      </c>
      <c r="K36" s="7">
        <f t="shared" si="1"/>
        <v>6391</v>
      </c>
      <c r="L36" s="6">
        <v>25.5</v>
      </c>
      <c r="M36" s="6">
        <v>74.5</v>
      </c>
      <c r="N36" s="6">
        <v>13.5</v>
      </c>
      <c r="O36" s="6">
        <v>1</v>
      </c>
      <c r="P36" s="6">
        <v>45.1</v>
      </c>
      <c r="Q36" s="6">
        <v>61.7</v>
      </c>
      <c r="R36" s="6">
        <v>3.5</v>
      </c>
      <c r="S36" s="6">
        <v>1.9</v>
      </c>
      <c r="T36" s="6">
        <v>32.6</v>
      </c>
      <c r="U36" s="6">
        <v>15.6</v>
      </c>
      <c r="V36" s="6" t="s">
        <v>114</v>
      </c>
    </row>
    <row r="37" spans="1:22" x14ac:dyDescent="0.35">
      <c r="A37" t="s">
        <v>35</v>
      </c>
      <c r="B37" s="4">
        <v>829701</v>
      </c>
      <c r="C37" s="4">
        <v>787220</v>
      </c>
      <c r="D37" s="4">
        <v>1742</v>
      </c>
      <c r="E37" s="4">
        <v>787220</v>
      </c>
      <c r="F37" s="4">
        <v>636218</v>
      </c>
      <c r="G37" s="5">
        <v>0.80820000000000003</v>
      </c>
      <c r="H37" s="6">
        <v>668004</v>
      </c>
      <c r="I37" s="6">
        <v>13.6</v>
      </c>
      <c r="J37" s="6">
        <f t="shared" si="0"/>
        <v>0.20995515251879893</v>
      </c>
      <c r="K37" s="7">
        <f t="shared" si="1"/>
        <v>151002</v>
      </c>
      <c r="L37" s="6">
        <v>25.8</v>
      </c>
      <c r="M37" s="6">
        <v>74.2</v>
      </c>
      <c r="N37" s="6">
        <v>12.3</v>
      </c>
      <c r="O37" s="6">
        <v>8</v>
      </c>
      <c r="P37" s="6">
        <v>39.1</v>
      </c>
      <c r="Q37" s="6">
        <v>54.6</v>
      </c>
      <c r="R37" s="6">
        <v>8.1</v>
      </c>
      <c r="S37" s="6">
        <v>1.3</v>
      </c>
      <c r="T37" s="6">
        <v>18.600000000000001</v>
      </c>
      <c r="U37" s="6">
        <v>24.5</v>
      </c>
      <c r="V37" s="6" t="s">
        <v>115</v>
      </c>
    </row>
    <row r="38" spans="1:22" x14ac:dyDescent="0.35">
      <c r="A38" t="s">
        <v>36</v>
      </c>
      <c r="B38" s="4">
        <v>1363243</v>
      </c>
      <c r="C38" s="4">
        <v>1330525</v>
      </c>
      <c r="D38" s="4">
        <v>6680</v>
      </c>
      <c r="E38" s="4">
        <v>1330525</v>
      </c>
      <c r="F38" s="4">
        <v>1110401</v>
      </c>
      <c r="G38" s="5">
        <v>0.83460000000000001</v>
      </c>
      <c r="H38" s="6">
        <v>1159822</v>
      </c>
      <c r="I38" s="6">
        <v>10.4</v>
      </c>
      <c r="J38" s="6">
        <f t="shared" si="0"/>
        <v>0.49000801764615698</v>
      </c>
      <c r="K38" s="7">
        <f t="shared" si="1"/>
        <v>220124</v>
      </c>
      <c r="L38" s="6">
        <v>21.1</v>
      </c>
      <c r="M38" s="6">
        <v>78.900000000000006</v>
      </c>
      <c r="N38" s="6">
        <v>15</v>
      </c>
      <c r="O38" s="6">
        <v>4.7</v>
      </c>
      <c r="P38" s="6">
        <v>53</v>
      </c>
      <c r="Q38" s="6">
        <v>34.299999999999997</v>
      </c>
      <c r="R38" s="6">
        <v>12.2</v>
      </c>
      <c r="S38" s="6">
        <v>0.9</v>
      </c>
      <c r="T38" s="6">
        <v>18.100000000000001</v>
      </c>
      <c r="U38" s="6">
        <v>10.6</v>
      </c>
      <c r="V38" s="6" t="s">
        <v>116</v>
      </c>
    </row>
    <row r="39" spans="1:22" x14ac:dyDescent="0.35">
      <c r="A39" t="s">
        <v>37</v>
      </c>
      <c r="B39" s="4">
        <v>460388</v>
      </c>
      <c r="C39" s="4">
        <v>460342</v>
      </c>
      <c r="D39" s="3">
        <v>0</v>
      </c>
      <c r="E39" s="4">
        <v>460342</v>
      </c>
      <c r="F39" s="4">
        <v>301989</v>
      </c>
      <c r="G39" s="5">
        <v>0.65600000000000003</v>
      </c>
      <c r="H39" s="6">
        <v>362650</v>
      </c>
      <c r="I39" s="6">
        <v>10.6</v>
      </c>
      <c r="J39" s="6">
        <f t="shared" si="0"/>
        <v>0</v>
      </c>
      <c r="K39" s="7">
        <f t="shared" si="1"/>
        <v>158353</v>
      </c>
      <c r="L39" s="6">
        <v>13.7</v>
      </c>
      <c r="M39" s="6">
        <v>86.3</v>
      </c>
      <c r="N39" s="6">
        <v>17.2</v>
      </c>
      <c r="O39" s="6">
        <v>5.0999999999999996</v>
      </c>
      <c r="P39" s="6">
        <v>40.5</v>
      </c>
      <c r="Q39" s="6">
        <v>15.9</v>
      </c>
      <c r="R39" s="6">
        <v>35</v>
      </c>
      <c r="S39" s="6">
        <v>0.7</v>
      </c>
      <c r="T39" s="6">
        <v>10.7</v>
      </c>
      <c r="U39" s="6">
        <v>7.7</v>
      </c>
      <c r="V39" s="6" t="s">
        <v>117</v>
      </c>
    </row>
    <row r="40" spans="1:22" x14ac:dyDescent="0.35">
      <c r="A40" t="s">
        <v>38</v>
      </c>
      <c r="B40" s="4">
        <v>281139</v>
      </c>
      <c r="C40" s="4">
        <v>281111</v>
      </c>
      <c r="D40" s="3">
        <v>0</v>
      </c>
      <c r="E40" s="4">
        <v>281111</v>
      </c>
      <c r="F40" s="4">
        <v>217128</v>
      </c>
      <c r="G40" s="5">
        <v>0.77239999999999998</v>
      </c>
      <c r="H40" s="6">
        <v>241373</v>
      </c>
      <c r="I40" s="6">
        <v>12.6</v>
      </c>
      <c r="J40" s="6">
        <f t="shared" si="0"/>
        <v>0</v>
      </c>
      <c r="K40" s="7">
        <f t="shared" si="1"/>
        <v>63983</v>
      </c>
      <c r="L40" s="6">
        <v>26.5</v>
      </c>
      <c r="M40" s="6">
        <v>73.5</v>
      </c>
      <c r="N40" s="6">
        <v>13.3</v>
      </c>
      <c r="O40" s="6">
        <v>7</v>
      </c>
      <c r="P40" s="6">
        <v>37.1</v>
      </c>
      <c r="Q40" s="6">
        <v>42.2</v>
      </c>
      <c r="R40" s="6">
        <v>17.899999999999999</v>
      </c>
      <c r="S40" s="6">
        <v>1.2</v>
      </c>
      <c r="T40" s="6">
        <v>19.8</v>
      </c>
      <c r="U40" s="6">
        <v>16.5</v>
      </c>
      <c r="V40" s="6" t="s">
        <v>118</v>
      </c>
    </row>
    <row r="41" spans="1:22" x14ac:dyDescent="0.35">
      <c r="A41" t="s">
        <v>39</v>
      </c>
      <c r="B41" s="4">
        <v>140890</v>
      </c>
      <c r="C41" s="4">
        <v>135691</v>
      </c>
      <c r="D41" s="3">
        <v>507</v>
      </c>
      <c r="E41" s="4">
        <v>135691</v>
      </c>
      <c r="F41" s="4">
        <v>95565</v>
      </c>
      <c r="G41" s="5">
        <v>0.70430000000000004</v>
      </c>
      <c r="H41" s="6">
        <v>108897</v>
      </c>
      <c r="I41" s="6">
        <v>12.8</v>
      </c>
      <c r="J41" s="6">
        <f t="shared" si="0"/>
        <v>0.35985520618922562</v>
      </c>
      <c r="K41" s="7">
        <f t="shared" si="1"/>
        <v>40126</v>
      </c>
      <c r="L41" s="6">
        <v>17.600000000000001</v>
      </c>
      <c r="M41" s="6">
        <v>82.4</v>
      </c>
      <c r="N41" s="6">
        <v>21.6</v>
      </c>
      <c r="O41" s="6">
        <v>1.1000000000000001</v>
      </c>
      <c r="P41" s="6">
        <v>72.400000000000006</v>
      </c>
      <c r="Q41" s="6">
        <v>24.5</v>
      </c>
      <c r="R41" s="6">
        <v>3.7</v>
      </c>
      <c r="S41" s="6">
        <v>0.9</v>
      </c>
      <c r="T41" s="6">
        <v>15</v>
      </c>
      <c r="U41" s="6">
        <v>6.7</v>
      </c>
      <c r="V41" s="6" t="s">
        <v>119</v>
      </c>
    </row>
    <row r="42" spans="1:22" x14ac:dyDescent="0.35">
      <c r="A42" t="s">
        <v>40</v>
      </c>
      <c r="B42" s="4">
        <v>310374</v>
      </c>
      <c r="C42" s="4">
        <v>308419</v>
      </c>
      <c r="D42" s="3">
        <v>310</v>
      </c>
      <c r="E42" s="4">
        <v>308419</v>
      </c>
      <c r="F42" s="4">
        <v>256364</v>
      </c>
      <c r="G42" s="5">
        <v>0.83120000000000005</v>
      </c>
      <c r="H42" s="6">
        <v>264424</v>
      </c>
      <c r="I42" s="6">
        <v>6.5</v>
      </c>
      <c r="J42" s="6">
        <f t="shared" si="0"/>
        <v>9.9879500215868597E-2</v>
      </c>
      <c r="K42" s="7">
        <f t="shared" si="1"/>
        <v>52055</v>
      </c>
      <c r="L42" s="6">
        <v>19.899999999999999</v>
      </c>
      <c r="M42" s="6">
        <v>80.099999999999994</v>
      </c>
      <c r="N42" s="6">
        <v>17.3</v>
      </c>
      <c r="O42" s="6">
        <v>2.2000000000000002</v>
      </c>
      <c r="P42" s="6">
        <v>40.700000000000003</v>
      </c>
      <c r="Q42" s="6">
        <v>24.9</v>
      </c>
      <c r="R42" s="6">
        <v>30.8</v>
      </c>
      <c r="S42" s="6">
        <v>1.1000000000000001</v>
      </c>
      <c r="T42" s="6">
        <v>12.5</v>
      </c>
      <c r="U42" s="6">
        <v>11.6</v>
      </c>
      <c r="V42" s="6" t="s">
        <v>120</v>
      </c>
    </row>
    <row r="43" spans="1:22" x14ac:dyDescent="0.35">
      <c r="A43" t="s">
        <v>41</v>
      </c>
      <c r="B43" s="4">
        <v>180818</v>
      </c>
      <c r="C43" s="4">
        <v>170529</v>
      </c>
      <c r="D43" s="3">
        <v>759</v>
      </c>
      <c r="E43" s="4">
        <v>170529</v>
      </c>
      <c r="F43" s="4">
        <v>135331</v>
      </c>
      <c r="G43" s="5">
        <v>0.79359999999999997</v>
      </c>
      <c r="H43" s="6">
        <v>148960</v>
      </c>
      <c r="I43" s="6">
        <v>13.8</v>
      </c>
      <c r="J43" s="6">
        <f t="shared" si="0"/>
        <v>0.41975909478038692</v>
      </c>
      <c r="K43" s="7">
        <f t="shared" si="1"/>
        <v>35198</v>
      </c>
      <c r="L43" s="6">
        <v>22.4</v>
      </c>
      <c r="M43" s="6">
        <v>77.599999999999994</v>
      </c>
      <c r="N43" s="6">
        <v>16.2</v>
      </c>
      <c r="O43" s="6">
        <v>1.7</v>
      </c>
      <c r="P43" s="6">
        <v>54.3</v>
      </c>
      <c r="Q43" s="6">
        <v>47.6</v>
      </c>
      <c r="R43" s="6">
        <v>5.3</v>
      </c>
      <c r="S43" s="6">
        <v>1.8</v>
      </c>
      <c r="T43" s="6">
        <v>23.2</v>
      </c>
      <c r="U43" s="6">
        <v>13.6</v>
      </c>
      <c r="V43" s="6" t="s">
        <v>121</v>
      </c>
    </row>
    <row r="44" spans="1:22" x14ac:dyDescent="0.35">
      <c r="A44" t="s">
        <v>42</v>
      </c>
      <c r="B44" s="4">
        <v>763137</v>
      </c>
      <c r="C44" s="4">
        <v>759092</v>
      </c>
      <c r="D44" s="3">
        <v>687</v>
      </c>
      <c r="E44" s="4">
        <v>759092</v>
      </c>
      <c r="F44" s="4">
        <v>612721</v>
      </c>
      <c r="G44" s="5">
        <v>0.80720000000000003</v>
      </c>
      <c r="H44" s="6">
        <v>654467</v>
      </c>
      <c r="I44" s="6">
        <v>6.9</v>
      </c>
      <c r="J44" s="6">
        <f t="shared" si="0"/>
        <v>9.002315442705569E-2</v>
      </c>
      <c r="K44" s="7">
        <f t="shared" si="1"/>
        <v>146371</v>
      </c>
      <c r="L44" s="6">
        <v>21</v>
      </c>
      <c r="M44" s="6">
        <v>79</v>
      </c>
      <c r="N44" s="6">
        <v>14.4</v>
      </c>
      <c r="O44" s="6">
        <v>2.4</v>
      </c>
      <c r="P44" s="6">
        <v>33.200000000000003</v>
      </c>
      <c r="Q44" s="6">
        <v>25.1</v>
      </c>
      <c r="R44" s="6">
        <v>39.5</v>
      </c>
      <c r="S44" s="6">
        <v>0.8</v>
      </c>
      <c r="T44" s="6">
        <v>13.2</v>
      </c>
      <c r="U44" s="6">
        <v>10.6</v>
      </c>
      <c r="V44" s="6" t="s">
        <v>122</v>
      </c>
    </row>
    <row r="45" spans="1:22" x14ac:dyDescent="0.35">
      <c r="A45" t="s">
        <v>43</v>
      </c>
      <c r="B45" s="4">
        <v>119026</v>
      </c>
      <c r="C45" s="4">
        <v>117050</v>
      </c>
      <c r="D45" s="3">
        <v>345</v>
      </c>
      <c r="E45" s="4">
        <v>117050</v>
      </c>
      <c r="F45" s="4">
        <v>86567</v>
      </c>
      <c r="G45" s="5">
        <v>0.73960000000000004</v>
      </c>
      <c r="H45" s="6">
        <v>96873</v>
      </c>
      <c r="I45" s="6">
        <v>11.2</v>
      </c>
      <c r="J45" s="6">
        <f t="shared" si="0"/>
        <v>0.28985263723892263</v>
      </c>
      <c r="K45" s="7">
        <f t="shared" si="1"/>
        <v>30483</v>
      </c>
      <c r="L45" s="6">
        <v>18.8</v>
      </c>
      <c r="M45" s="6">
        <v>81.2</v>
      </c>
      <c r="N45" s="6">
        <v>18.3</v>
      </c>
      <c r="O45" s="6">
        <v>1</v>
      </c>
      <c r="P45" s="6">
        <v>62.8</v>
      </c>
      <c r="Q45" s="6">
        <v>35</v>
      </c>
      <c r="R45" s="6">
        <v>4.7</v>
      </c>
      <c r="S45" s="6">
        <v>1</v>
      </c>
      <c r="T45" s="6">
        <v>13.7</v>
      </c>
      <c r="U45" s="6">
        <v>16.600000000000001</v>
      </c>
      <c r="V45" s="6" t="s">
        <v>123</v>
      </c>
    </row>
    <row r="46" spans="1:22" x14ac:dyDescent="0.35">
      <c r="A46" t="s">
        <v>44</v>
      </c>
      <c r="B46" s="4">
        <v>92097</v>
      </c>
      <c r="C46" s="4">
        <v>87078</v>
      </c>
      <c r="D46" s="3">
        <v>949</v>
      </c>
      <c r="E46" s="4">
        <v>87078</v>
      </c>
      <c r="F46" s="4">
        <v>52604</v>
      </c>
      <c r="G46" s="5">
        <v>0.60409999999999997</v>
      </c>
      <c r="H46" s="6">
        <v>71473</v>
      </c>
      <c r="I46" s="6">
        <v>13</v>
      </c>
      <c r="J46" s="6">
        <f t="shared" si="0"/>
        <v>1.0304353019099428</v>
      </c>
      <c r="K46" s="7">
        <f t="shared" si="1"/>
        <v>34474</v>
      </c>
      <c r="L46" s="6">
        <v>21.7</v>
      </c>
      <c r="M46" s="6">
        <v>78.3</v>
      </c>
      <c r="N46" s="6">
        <v>21.2</v>
      </c>
      <c r="O46" s="6">
        <v>0.9</v>
      </c>
      <c r="P46" s="6">
        <v>80.2</v>
      </c>
      <c r="Q46" s="6">
        <v>11.3</v>
      </c>
      <c r="R46" s="6">
        <v>3.4</v>
      </c>
      <c r="S46" s="6">
        <v>1.7</v>
      </c>
      <c r="T46" s="6">
        <v>10.9</v>
      </c>
      <c r="U46" s="6">
        <v>2.7</v>
      </c>
      <c r="V46" s="6" t="s">
        <v>124</v>
      </c>
    </row>
    <row r="47" spans="1:22" x14ac:dyDescent="0.35">
      <c r="A47" t="s">
        <v>45</v>
      </c>
      <c r="B47" s="4">
        <v>2514</v>
      </c>
      <c r="C47" s="4">
        <v>1332</v>
      </c>
      <c r="D47" s="3">
        <v>442</v>
      </c>
      <c r="E47" s="4">
        <v>1332</v>
      </c>
      <c r="F47" s="3">
        <v>450</v>
      </c>
      <c r="G47" s="5">
        <v>0.33779999999999999</v>
      </c>
      <c r="H47" s="6">
        <v>1206</v>
      </c>
      <c r="I47" s="6">
        <v>12.3</v>
      </c>
      <c r="J47" s="6">
        <f t="shared" si="0"/>
        <v>17.581543357199681</v>
      </c>
      <c r="K47" s="7">
        <f t="shared" si="1"/>
        <v>882</v>
      </c>
      <c r="L47" s="6">
        <v>12.8</v>
      </c>
      <c r="M47" s="6">
        <v>87.2</v>
      </c>
      <c r="N47" s="6">
        <v>34.5</v>
      </c>
      <c r="O47" s="6">
        <v>0.3</v>
      </c>
      <c r="P47" s="6">
        <v>90.4</v>
      </c>
      <c r="Q47" s="6">
        <v>9.6</v>
      </c>
      <c r="R47" s="6">
        <v>0</v>
      </c>
      <c r="S47" s="6">
        <v>1.4</v>
      </c>
      <c r="T47" s="6">
        <v>3.3</v>
      </c>
      <c r="U47" s="6">
        <v>4.7</v>
      </c>
      <c r="V47" s="6" t="s">
        <v>125</v>
      </c>
    </row>
    <row r="48" spans="1:22" x14ac:dyDescent="0.35">
      <c r="A48" t="s">
        <v>46</v>
      </c>
      <c r="B48" s="4">
        <v>28260</v>
      </c>
      <c r="C48" s="4">
        <v>24123</v>
      </c>
      <c r="D48" s="4">
        <v>1840</v>
      </c>
      <c r="E48" s="4">
        <v>24123</v>
      </c>
      <c r="F48" s="4">
        <v>9200</v>
      </c>
      <c r="G48" s="5">
        <v>0.38140000000000002</v>
      </c>
      <c r="H48" s="6">
        <v>18907</v>
      </c>
      <c r="I48" s="6">
        <v>16.600000000000001</v>
      </c>
      <c r="J48" s="6">
        <f t="shared" si="0"/>
        <v>6.5109695682944082</v>
      </c>
      <c r="K48" s="7">
        <f t="shared" si="1"/>
        <v>14923</v>
      </c>
      <c r="L48" s="6">
        <v>20.100000000000001</v>
      </c>
      <c r="M48" s="6">
        <v>79.900000000000006</v>
      </c>
      <c r="N48" s="6">
        <v>27.2</v>
      </c>
      <c r="O48" s="6">
        <v>1.7</v>
      </c>
      <c r="P48" s="6">
        <v>79.400000000000006</v>
      </c>
      <c r="Q48" s="6">
        <v>13.1</v>
      </c>
      <c r="R48" s="6">
        <v>1.6</v>
      </c>
      <c r="S48" s="6">
        <v>3.2</v>
      </c>
      <c r="T48" s="6">
        <v>11.2</v>
      </c>
      <c r="U48" s="6">
        <v>2.5</v>
      </c>
      <c r="V48" s="6" t="s">
        <v>126</v>
      </c>
    </row>
    <row r="49" spans="1:22" x14ac:dyDescent="0.35">
      <c r="A49" t="s">
        <v>47</v>
      </c>
      <c r="B49" s="4">
        <v>180475</v>
      </c>
      <c r="C49" s="4">
        <v>179464</v>
      </c>
      <c r="D49" s="3">
        <v>126</v>
      </c>
      <c r="E49" s="4">
        <v>179464</v>
      </c>
      <c r="F49" s="4">
        <v>141373</v>
      </c>
      <c r="G49" s="5">
        <v>0.78779999999999994</v>
      </c>
      <c r="H49" s="6">
        <v>155800</v>
      </c>
      <c r="I49" s="6">
        <v>9.6999999999999993</v>
      </c>
      <c r="J49" s="6">
        <f t="shared" si="0"/>
        <v>6.9815763956226629E-2</v>
      </c>
      <c r="K49" s="7">
        <f t="shared" si="1"/>
        <v>38091</v>
      </c>
      <c r="L49" s="6">
        <v>22.1</v>
      </c>
      <c r="M49" s="6">
        <v>77.900000000000006</v>
      </c>
      <c r="N49" s="6">
        <v>16.899999999999999</v>
      </c>
      <c r="O49" s="6">
        <v>12.9</v>
      </c>
      <c r="P49" s="6">
        <v>42.7</v>
      </c>
      <c r="Q49" s="6">
        <v>29</v>
      </c>
      <c r="R49" s="6">
        <v>15.9</v>
      </c>
      <c r="S49" s="6">
        <v>0.8</v>
      </c>
      <c r="T49" s="6">
        <v>14.5</v>
      </c>
      <c r="U49" s="6">
        <v>12.3</v>
      </c>
      <c r="V49" s="6" t="s">
        <v>127</v>
      </c>
    </row>
    <row r="50" spans="1:22" x14ac:dyDescent="0.35">
      <c r="A50" t="s">
        <v>48</v>
      </c>
      <c r="B50" s="4">
        <v>236567</v>
      </c>
      <c r="C50" s="4">
        <v>228169</v>
      </c>
      <c r="D50" s="3">
        <v>852</v>
      </c>
      <c r="E50" s="4">
        <v>228169</v>
      </c>
      <c r="F50" s="4">
        <v>168233</v>
      </c>
      <c r="G50" s="5">
        <v>0.73729999999999996</v>
      </c>
      <c r="H50" s="6">
        <v>190498</v>
      </c>
      <c r="I50" s="6">
        <v>8.6</v>
      </c>
      <c r="J50" s="6">
        <f t="shared" si="0"/>
        <v>0.3601516695058905</v>
      </c>
      <c r="K50" s="7">
        <f t="shared" si="1"/>
        <v>59936</v>
      </c>
      <c r="L50" s="6">
        <v>19.3</v>
      </c>
      <c r="M50" s="6">
        <v>80.7</v>
      </c>
      <c r="N50" s="6">
        <v>21</v>
      </c>
      <c r="O50" s="6">
        <v>1.6</v>
      </c>
      <c r="P50" s="6">
        <v>64.5</v>
      </c>
      <c r="Q50" s="6">
        <v>29.4</v>
      </c>
      <c r="R50" s="6">
        <v>4.4000000000000004</v>
      </c>
      <c r="S50" s="6">
        <v>1.3</v>
      </c>
      <c r="T50" s="6">
        <v>13.7</v>
      </c>
      <c r="U50" s="6">
        <v>14.1</v>
      </c>
      <c r="V50" s="6" t="s">
        <v>128</v>
      </c>
    </row>
    <row r="51" spans="1:22" x14ac:dyDescent="0.35">
      <c r="A51" t="s">
        <v>49</v>
      </c>
      <c r="B51" s="4">
        <v>205087</v>
      </c>
      <c r="C51" s="4">
        <v>204923</v>
      </c>
      <c r="D51" s="3">
        <v>21</v>
      </c>
      <c r="E51" s="4">
        <v>204923</v>
      </c>
      <c r="F51" s="4">
        <v>150106</v>
      </c>
      <c r="G51" s="5">
        <v>0.73250000000000004</v>
      </c>
      <c r="H51" s="6">
        <v>176457</v>
      </c>
      <c r="I51" s="6">
        <v>13.1</v>
      </c>
      <c r="J51" s="6">
        <f t="shared" si="0"/>
        <v>1.023955687098646E-2</v>
      </c>
      <c r="K51" s="7">
        <f t="shared" si="1"/>
        <v>54817</v>
      </c>
      <c r="L51" s="6">
        <v>26.9</v>
      </c>
      <c r="M51" s="6">
        <v>73.099999999999994</v>
      </c>
      <c r="N51" s="6">
        <v>13.6</v>
      </c>
      <c r="O51" s="6">
        <v>2.8</v>
      </c>
      <c r="P51" s="6">
        <v>50.1</v>
      </c>
      <c r="Q51" s="6">
        <v>49.2</v>
      </c>
      <c r="R51" s="6">
        <v>6</v>
      </c>
      <c r="S51" s="6">
        <v>1.2</v>
      </c>
      <c r="T51" s="6">
        <v>24.4</v>
      </c>
      <c r="U51" s="6">
        <v>14.9</v>
      </c>
      <c r="V51" s="6" t="s">
        <v>129</v>
      </c>
    </row>
    <row r="52" spans="1:22" x14ac:dyDescent="0.35">
      <c r="A52" t="s">
        <v>50</v>
      </c>
      <c r="B52" s="4">
        <v>41569</v>
      </c>
      <c r="C52" s="4">
        <v>41548</v>
      </c>
      <c r="D52" s="3">
        <v>0</v>
      </c>
      <c r="E52" s="4">
        <v>41548</v>
      </c>
      <c r="F52" s="4">
        <v>28122</v>
      </c>
      <c r="G52" s="5">
        <v>0.67689999999999995</v>
      </c>
      <c r="H52" s="6">
        <v>33240</v>
      </c>
      <c r="I52" s="6">
        <v>14.8</v>
      </c>
      <c r="J52" s="6">
        <f t="shared" si="0"/>
        <v>0</v>
      </c>
      <c r="K52" s="7">
        <f t="shared" si="1"/>
        <v>13426</v>
      </c>
      <c r="L52" s="6">
        <v>25.4</v>
      </c>
      <c r="M52" s="6">
        <v>74.599999999999994</v>
      </c>
      <c r="N52" s="6">
        <v>16.100000000000001</v>
      </c>
      <c r="O52" s="6">
        <v>1.7</v>
      </c>
      <c r="P52" s="6">
        <v>50.3</v>
      </c>
      <c r="Q52" s="6">
        <v>32.4</v>
      </c>
      <c r="R52" s="6">
        <v>17.5</v>
      </c>
      <c r="S52" s="6">
        <v>1.6</v>
      </c>
      <c r="T52" s="6">
        <v>15.8</v>
      </c>
      <c r="U52" s="6">
        <v>12.7</v>
      </c>
      <c r="V52" s="6" t="s">
        <v>130</v>
      </c>
    </row>
    <row r="53" spans="1:22" x14ac:dyDescent="0.35">
      <c r="A53" t="s">
        <v>51</v>
      </c>
      <c r="B53" s="4">
        <v>31037</v>
      </c>
      <c r="C53" s="4">
        <v>29631</v>
      </c>
      <c r="D53" s="3">
        <v>264</v>
      </c>
      <c r="E53" s="4">
        <v>29631</v>
      </c>
      <c r="F53" s="4">
        <v>13519</v>
      </c>
      <c r="G53" s="5">
        <v>0.45619999999999999</v>
      </c>
      <c r="H53" s="6">
        <v>24526</v>
      </c>
      <c r="I53" s="6">
        <v>15.4</v>
      </c>
      <c r="J53" s="6">
        <f t="shared" si="0"/>
        <v>0.85059767374424078</v>
      </c>
      <c r="K53" s="7">
        <f t="shared" si="1"/>
        <v>16112</v>
      </c>
      <c r="L53" s="6">
        <v>24.1</v>
      </c>
      <c r="M53" s="6">
        <v>75.900000000000006</v>
      </c>
      <c r="N53" s="6">
        <v>20</v>
      </c>
      <c r="O53" s="6">
        <v>0.9</v>
      </c>
      <c r="P53" s="6">
        <v>69.3</v>
      </c>
      <c r="Q53" s="6">
        <v>28.2</v>
      </c>
      <c r="R53" s="6">
        <v>1.8</v>
      </c>
      <c r="S53" s="6">
        <v>1.9</v>
      </c>
      <c r="T53" s="6">
        <v>15.7</v>
      </c>
      <c r="U53" s="6">
        <v>10.3</v>
      </c>
      <c r="V53" s="6" t="s">
        <v>131</v>
      </c>
    </row>
    <row r="54" spans="1:22" x14ac:dyDescent="0.35">
      <c r="A54" t="s">
        <v>52</v>
      </c>
      <c r="B54" s="4">
        <v>9353</v>
      </c>
      <c r="C54" s="4">
        <v>7297</v>
      </c>
      <c r="D54" s="3">
        <v>225</v>
      </c>
      <c r="E54" s="4">
        <v>7297</v>
      </c>
      <c r="F54" s="4">
        <v>1840</v>
      </c>
      <c r="G54" s="5">
        <v>0.25219999999999998</v>
      </c>
      <c r="H54" s="6">
        <v>5373</v>
      </c>
      <c r="I54" s="6">
        <v>18</v>
      </c>
      <c r="J54" s="6">
        <f t="shared" si="0"/>
        <v>2.4056452475141663</v>
      </c>
      <c r="K54" s="7">
        <f t="shared" si="1"/>
        <v>5457</v>
      </c>
      <c r="L54" s="6">
        <v>18.3</v>
      </c>
      <c r="M54" s="6">
        <v>81.7</v>
      </c>
      <c r="N54" s="6">
        <v>29.3</v>
      </c>
      <c r="O54" s="6">
        <v>0.9</v>
      </c>
      <c r="P54" s="6">
        <v>80.5</v>
      </c>
      <c r="Q54" s="6">
        <v>5.9</v>
      </c>
      <c r="R54" s="6">
        <v>2.4</v>
      </c>
      <c r="S54" s="6">
        <v>2.2000000000000002</v>
      </c>
      <c r="T54" s="6">
        <v>8.1999999999999993</v>
      </c>
      <c r="U54" s="6">
        <v>5.3</v>
      </c>
      <c r="V54" s="6" t="s">
        <v>132</v>
      </c>
    </row>
    <row r="55" spans="1:22" x14ac:dyDescent="0.35">
      <c r="A55" t="s">
        <v>53</v>
      </c>
      <c r="B55" s="4">
        <v>172181</v>
      </c>
      <c r="C55" s="4">
        <v>169219</v>
      </c>
      <c r="D55" s="3">
        <v>327</v>
      </c>
      <c r="E55" s="4">
        <v>169219</v>
      </c>
      <c r="F55" s="4">
        <v>109424</v>
      </c>
      <c r="G55" s="5">
        <v>0.64659999999999995</v>
      </c>
      <c r="H55" s="6">
        <v>142026</v>
      </c>
      <c r="I55" s="6">
        <v>17.8</v>
      </c>
      <c r="J55" s="6">
        <f t="shared" si="0"/>
        <v>0.18991642515724733</v>
      </c>
      <c r="K55" s="7">
        <f t="shared" si="1"/>
        <v>59795</v>
      </c>
      <c r="L55" s="6">
        <v>30.1</v>
      </c>
      <c r="M55" s="6">
        <v>69.900000000000006</v>
      </c>
      <c r="N55" s="6">
        <v>11.7</v>
      </c>
      <c r="O55" s="6">
        <v>1.5</v>
      </c>
      <c r="P55" s="6">
        <v>42.6</v>
      </c>
      <c r="Q55" s="6">
        <v>66.099999999999994</v>
      </c>
      <c r="R55" s="6">
        <v>3.5</v>
      </c>
      <c r="S55" s="6">
        <v>1.5</v>
      </c>
      <c r="T55" s="6">
        <v>21.3</v>
      </c>
      <c r="U55" s="6">
        <v>29.3</v>
      </c>
      <c r="V55" s="6" t="s">
        <v>133</v>
      </c>
    </row>
    <row r="56" spans="1:22" x14ac:dyDescent="0.35">
      <c r="A56" t="s">
        <v>54</v>
      </c>
      <c r="B56" s="4">
        <v>34738</v>
      </c>
      <c r="C56" s="4">
        <v>31785</v>
      </c>
      <c r="D56" s="3">
        <v>132</v>
      </c>
      <c r="E56" s="4">
        <v>31785</v>
      </c>
      <c r="F56" s="4">
        <v>16527</v>
      </c>
      <c r="G56" s="5">
        <v>0.52</v>
      </c>
      <c r="H56" s="6">
        <v>22809</v>
      </c>
      <c r="I56" s="6">
        <v>10.7</v>
      </c>
      <c r="J56" s="6">
        <f t="shared" si="0"/>
        <v>0.37998733375554145</v>
      </c>
      <c r="K56" s="7">
        <f t="shared" si="1"/>
        <v>15258</v>
      </c>
      <c r="L56" s="6">
        <v>17.2</v>
      </c>
      <c r="M56" s="6">
        <v>82.8</v>
      </c>
      <c r="N56" s="6">
        <v>27.7</v>
      </c>
      <c r="O56" s="6">
        <v>1.7</v>
      </c>
      <c r="P56" s="6">
        <v>82.6</v>
      </c>
      <c r="Q56" s="6">
        <v>13.2</v>
      </c>
      <c r="R56" s="6">
        <v>1.3</v>
      </c>
      <c r="S56" s="6">
        <v>1.8</v>
      </c>
      <c r="T56" s="6">
        <v>8.6999999999999993</v>
      </c>
      <c r="U56" s="6">
        <v>3.4</v>
      </c>
      <c r="V56" s="6" t="s">
        <v>134</v>
      </c>
    </row>
    <row r="57" spans="1:22" x14ac:dyDescent="0.35">
      <c r="A57" t="s">
        <v>55</v>
      </c>
      <c r="B57" s="4">
        <v>327087</v>
      </c>
      <c r="C57" s="4">
        <v>310831</v>
      </c>
      <c r="D57" s="4">
        <v>2355</v>
      </c>
      <c r="E57" s="4">
        <v>310831</v>
      </c>
      <c r="F57" s="4">
        <v>259855</v>
      </c>
      <c r="G57" s="5">
        <v>0.83599999999999997</v>
      </c>
      <c r="H57" s="6">
        <v>278045</v>
      </c>
      <c r="I57" s="6">
        <v>9</v>
      </c>
      <c r="J57" s="6">
        <f t="shared" si="0"/>
        <v>0.71999192875290052</v>
      </c>
      <c r="K57" s="7">
        <f t="shared" si="1"/>
        <v>50976</v>
      </c>
      <c r="L57" s="6">
        <v>22.2</v>
      </c>
      <c r="M57" s="6">
        <v>77.8</v>
      </c>
      <c r="N57" s="6">
        <v>16.899999999999999</v>
      </c>
      <c r="O57" s="6">
        <v>1.8</v>
      </c>
      <c r="P57" s="6">
        <v>58.6</v>
      </c>
      <c r="Q57" s="6">
        <v>43.8</v>
      </c>
      <c r="R57" s="6">
        <v>7.2</v>
      </c>
      <c r="S57" s="6">
        <v>1.5</v>
      </c>
      <c r="T57" s="6">
        <v>20.9</v>
      </c>
      <c r="U57" s="6">
        <v>9.8000000000000007</v>
      </c>
      <c r="V57" s="6" t="s">
        <v>135</v>
      </c>
    </row>
    <row r="58" spans="1:22" x14ac:dyDescent="0.35">
      <c r="A58" t="s">
        <v>56</v>
      </c>
      <c r="B58" s="4">
        <v>92225</v>
      </c>
      <c r="C58" s="4">
        <v>92207</v>
      </c>
      <c r="D58" s="3">
        <v>0</v>
      </c>
      <c r="E58" s="4">
        <v>92207</v>
      </c>
      <c r="F58" s="4">
        <v>63280</v>
      </c>
      <c r="G58" s="5">
        <v>0.68630000000000002</v>
      </c>
      <c r="H58" s="6">
        <v>76640</v>
      </c>
      <c r="I58" s="6">
        <v>16.3</v>
      </c>
      <c r="J58" s="6">
        <f t="shared" si="0"/>
        <v>0</v>
      </c>
      <c r="K58" s="7">
        <f t="shared" si="1"/>
        <v>28927</v>
      </c>
      <c r="L58" s="6">
        <v>20.5</v>
      </c>
      <c r="M58" s="6">
        <v>79.5</v>
      </c>
      <c r="N58" s="6">
        <v>13.3</v>
      </c>
      <c r="O58" s="6">
        <v>2.7</v>
      </c>
      <c r="P58" s="6">
        <v>54.8</v>
      </c>
      <c r="Q58" s="6">
        <v>33.200000000000003</v>
      </c>
      <c r="R58" s="6">
        <v>14.9</v>
      </c>
      <c r="S58" s="6">
        <v>0.9</v>
      </c>
      <c r="T58" s="6">
        <v>16.100000000000001</v>
      </c>
      <c r="U58" s="6">
        <v>10.1</v>
      </c>
      <c r="V58" s="6" t="s">
        <v>136</v>
      </c>
    </row>
    <row r="59" spans="1:22" x14ac:dyDescent="0.35">
      <c r="A59" t="s">
        <v>57</v>
      </c>
      <c r="B59" s="4">
        <v>33609</v>
      </c>
      <c r="C59" s="4">
        <v>32238</v>
      </c>
      <c r="D59" s="3">
        <v>104</v>
      </c>
      <c r="E59" s="4">
        <v>32238</v>
      </c>
      <c r="F59" s="4">
        <v>21995</v>
      </c>
      <c r="G59" s="5">
        <v>0.68230000000000002</v>
      </c>
      <c r="H59" s="6">
        <v>28063</v>
      </c>
      <c r="I59" s="6">
        <v>15.3</v>
      </c>
      <c r="J59" s="6">
        <f t="shared" si="0"/>
        <v>0.30944092356214109</v>
      </c>
      <c r="K59" s="7">
        <f t="shared" si="1"/>
        <v>10243</v>
      </c>
      <c r="L59" s="6">
        <v>27.3</v>
      </c>
      <c r="M59" s="6">
        <v>72.7</v>
      </c>
      <c r="N59" s="6">
        <v>13.1</v>
      </c>
      <c r="O59" s="6">
        <v>3.7</v>
      </c>
      <c r="P59" s="6">
        <v>60.5</v>
      </c>
      <c r="Q59" s="6">
        <v>30</v>
      </c>
      <c r="R59" s="6">
        <v>7.7</v>
      </c>
      <c r="S59" s="6">
        <v>1.6</v>
      </c>
      <c r="T59" s="6">
        <v>17.3</v>
      </c>
      <c r="U59" s="6">
        <v>9</v>
      </c>
      <c r="V59" s="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Tompkins</dc:creator>
  <cp:lastModifiedBy>Justin Tompkins</cp:lastModifiedBy>
  <dcterms:created xsi:type="dcterms:W3CDTF">2025-09-06T02:47:09Z</dcterms:created>
  <dcterms:modified xsi:type="dcterms:W3CDTF">2025-09-06T04:20:32Z</dcterms:modified>
</cp:coreProperties>
</file>