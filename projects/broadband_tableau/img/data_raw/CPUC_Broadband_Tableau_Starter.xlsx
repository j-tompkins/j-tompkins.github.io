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\j-tompkins.github.io\projects\broadband-tableau\data\"/>
    </mc:Choice>
  </mc:AlternateContent>
  <xr:revisionPtr revIDLastSave="0" documentId="13_ncr:1_{B23253EF-B645-4D99-890C-B9BAE4BE11C5}" xr6:coauthVersionLast="47" xr6:coauthVersionMax="47" xr10:uidLastSave="{00000000-0000-0000-0000-000000000000}"/>
  <bookViews>
    <workbookView xWindow="0" yWindow="360" windowWidth="22620" windowHeight="13500" xr2:uid="{00000000-000D-0000-FFFF-FFFF00000000}"/>
  </bookViews>
  <sheets>
    <sheet name="Data_Entry" sheetId="1" r:id="rId1"/>
    <sheet name="ReadMe_Diction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9" i="1" l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</calcChain>
</file>

<file path=xl/sharedStrings.xml><?xml version="1.0" encoding="utf-8"?>
<sst xmlns="http://schemas.openxmlformats.org/spreadsheetml/2006/main" count="109" uniqueCount="98">
  <si>
    <t>County</t>
  </si>
  <si>
    <t>All_HH</t>
  </si>
  <si>
    <t>Served_HH_25_3</t>
  </si>
  <si>
    <t>Unserved_HH_25_3</t>
  </si>
  <si>
    <t>Households_Offered</t>
  </si>
  <si>
    <t>Consumer_Connections</t>
  </si>
  <si>
    <t>Adoption_Rate</t>
  </si>
  <si>
    <t>Median_Income</t>
  </si>
  <si>
    <t>Poverty_Pct</t>
  </si>
  <si>
    <t>Rural_Tracts_Pct</t>
  </si>
  <si>
    <t>Unserved_Share</t>
  </si>
  <si>
    <t>Adoption_Gap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</si>
  <si>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</si>
  <si>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</si>
  <si>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</si>
  <si>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</si>
  <si>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</si>
  <si>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</si>
  <si>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</si>
  <si>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</si>
  <si>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</si>
  <si>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</si>
  <si>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</si>
  <si>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</si>
  <si>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</si>
  <si>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</si>
  <si>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</si>
  <si>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</si>
  <si>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</si>
  <si>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</si>
  <si>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</si>
  <si>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</si>
  <si>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</si>
  <si>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</si>
  <si>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</si>
  <si>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</si>
  <si>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</si>
  <si>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</si>
  <si>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</si>
  <si>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</si>
  <si>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</si>
  <si>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</si>
  <si>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</si>
  <si>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</si>
  <si>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</si>
  <si>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</si>
  <si>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</si>
  <si>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</si>
  <si>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</si>
  <si>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</si>
  <si>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</si>
  <si>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</si>
  <si>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</si>
  <si>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</si>
  <si>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</si>
  <si>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</si>
  <si>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</si>
  <si>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</si>
  <si>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</si>
  <si>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</si>
  <si>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</si>
  <si>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</si>
  <si>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</si>
  <si>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</si>
  <si>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</si>
  <si>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</si>
  <si>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</si>
  <si>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</si>
  <si>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</si>
  <si>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</si>
  <si>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CPUC Broadband Tableau Project — Starter Workbook</t>
  </si>
  <si>
    <t>Prepared: September 03, 2025</t>
  </si>
  <si>
    <t>What to do</t>
  </si>
  <si>
    <t>1) On the Data_Entry sheet, paste county-level values into the blue columns from the sources listed below.</t>
  </si>
  <si>
    <t>2) Do NOT overwrite the formula columns (Unserved_Share, Adoption_Gap). They auto-calc when you paste.</t>
  </si>
  <si>
    <t>3) When done, export this sheet as CSV named county_master.csv and connect it in Tableau Public.</t>
  </si>
  <si>
    <t>Column dictionary (abbreviations):</t>
  </si>
  <si>
    <t>All households in the county (denominator for shares). Source: CPUC Fixed Adoption by County PDF.</t>
  </si>
  <si>
    <t>Households served at &gt;=25 Mbps down / 3 Mbps up. Source: CPUC Served Status by County PDF.</t>
  </si>
  <si>
    <t>Households unserved at &gt;=25/3. Source: CPUC Served Status by County PDF.</t>
  </si>
  <si>
    <t>Households offered consumer fixed broadband service. Source: CPUC Fixed Adoption by County PDF.</t>
  </si>
  <si>
    <t>Number of consumer fixed broadband connections. Source: CPUC Fixed Adoption by County PDF.</t>
  </si>
  <si>
    <t>Adoption rate = Consumer Connections / Households Offered (decimal, e.g., 0.667). Source: CPUC Fixed Adoption by County PDF.</t>
  </si>
  <si>
    <t>Median household income (USD). Source: ACS S1901 (data.census.gov).</t>
  </si>
  <si>
    <t>Percent of people below poverty. Source: ACS S1701 (data.census.gov).</t>
  </si>
  <si>
    <t>Percent of tracts classified as rural by RUCA. Source: USDA ERS RUCA 2020.</t>
  </si>
  <si>
    <t>Derived: = Unserved_HH_25_3 / All_HH.</t>
  </si>
  <si>
    <t>Derived: = Households_Offered - Consumer_Connections.</t>
  </si>
  <si>
    <t>under_18</t>
  </si>
  <si>
    <t>18_or_over</t>
  </si>
  <si>
    <t>65_or_over</t>
  </si>
  <si>
    <t>black</t>
  </si>
  <si>
    <t>white</t>
  </si>
  <si>
    <t>hispanic</t>
  </si>
  <si>
    <t>asian</t>
  </si>
  <si>
    <t>am_indian_alask_nat</t>
  </si>
  <si>
    <t>two_or_more</t>
  </si>
  <si>
    <t>GEO_ID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</si>
</sst>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1" fillId="0" borderId="0" xfId="0" applyFon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9"/>
  <sheetViews>
    <sheetView tabSelected="1" topLeftCell="K1" workbookViewId="0">
      <pane ySplit="1" topLeftCell="A2" activePane="bottomLeft" state="frozen"/>
      <selection pane="bottomLeft" activeCell="V2" sqref="V2"/>
    </sheetView>
  </sheetViews>
  <sheetFormatPr defaultRowHeight="14.5" x14ac:dyDescent="0.35"/>
  <cols>
    <col min="1" max="12" width="18" customWidth="1"/>
    <col min="13" max="13" width="15.26953125" customWidth="1"/>
    <col min="14" max="14" width="14.81640625" customWidth="1"/>
    <col min="15" max="15" width="17.6328125" customWidth="1"/>
    <col min="20" max="20" width="27.81640625" customWidth="1"/>
    <col min="21" max="21" width="15.632812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88</v>
      </c>
      <c r="N1" s="5" t="s">
        <v>89</v>
      </c>
      <c r="O1" s="5" t="s">
        <v>90</v>
      </c>
      <c r="P1" s="5" t="s">
        <v>91</v>
      </c>
      <c r="Q1" s="5" t="s">
        <v>92</v>
      </c>
      <c r="R1" s="5" t="s">
        <v>93</v>
      </c>
      <c r="S1" s="5" t="s">
        <v>94</v>
      </c>
      <c r="T1" s="5" t="s">
        <v>95</v>
      </c>
      <c r="U1" s="5" t="s">
        <v>96</v>
      </c>
      <c r="V1" s="5" t="s">
        <v>97</v>
      </c>
    </row>
    <row r="2" spans="1:22" x14ac:dyDescent="0.35">
      <c r="A2" t="s">
        <v>12</v>
      </c>
      <c r="K2" t="str">
        <f t="shared" ref="K2:K33" si="0">IFERROR(D2/B2,"")</f>
        <v/>
      </c>
      <c r="L2">
        <f t="shared" ref="L2:L33" si="1">IFERROR(E2-F2,"")</f>
        <v>0</v>
      </c>
    </row>
    <row r="3" spans="1:22" x14ac:dyDescent="0.35">
      <c r="A3" t="s">
        <v>13</v>
      </c>
      <c r="K3" t="str">
        <f t="shared" si="0"/>
        <v/>
      </c>
      <c r="L3">
        <f t="shared" si="1"/>
        <v>0</v>
      </c>
    </row>
    <row r="4" spans="1:22" x14ac:dyDescent="0.35">
      <c r="A4" t="s">
        <v>14</v>
      </c>
      <c r="K4" t="str">
        <f t="shared" si="0"/>
        <v/>
      </c>
      <c r="L4">
        <f t="shared" si="1"/>
        <v>0</v>
      </c>
    </row>
    <row r="5" spans="1:22" x14ac:dyDescent="0.35">
      <c r="A5" t="s">
        <v>15</v>
      </c>
      <c r="K5" t="str">
        <f t="shared" si="0"/>
        <v/>
      </c>
      <c r="L5">
        <f t="shared" si="1"/>
        <v>0</v>
      </c>
    </row>
    <row r="6" spans="1:22" x14ac:dyDescent="0.35">
      <c r="A6" t="s">
        <v>16</v>
      </c>
      <c r="K6" t="str">
        <f t="shared" si="0"/>
        <v/>
      </c>
      <c r="L6">
        <f t="shared" si="1"/>
        <v>0</v>
      </c>
    </row>
    <row r="7" spans="1:22" x14ac:dyDescent="0.35">
      <c r="A7" t="s">
        <v>17</v>
      </c>
      <c r="K7" t="str">
        <f t="shared" si="0"/>
        <v/>
      </c>
      <c r="L7">
        <f t="shared" si="1"/>
        <v>0</v>
      </c>
    </row>
    <row r="8" spans="1:22" x14ac:dyDescent="0.35">
      <c r="A8" t="s">
        <v>18</v>
      </c>
      <c r="K8" t="str">
        <f t="shared" si="0"/>
        <v/>
      </c>
      <c r="L8">
        <f t="shared" si="1"/>
        <v>0</v>
      </c>
    </row>
    <row r="9" spans="1:22" x14ac:dyDescent="0.35">
      <c r="A9" t="s">
        <v>19</v>
      </c>
      <c r="K9" t="str">
        <f t="shared" si="0"/>
        <v/>
      </c>
      <c r="L9">
        <f t="shared" si="1"/>
        <v>0</v>
      </c>
    </row>
    <row r="10" spans="1:22" x14ac:dyDescent="0.35">
      <c r="A10" t="s">
        <v>20</v>
      </c>
      <c r="K10" t="str">
        <f t="shared" si="0"/>
        <v/>
      </c>
      <c r="L10">
        <f t="shared" si="1"/>
        <v>0</v>
      </c>
    </row>
    <row r="11" spans="1:22" x14ac:dyDescent="0.35">
      <c r="A11" t="s">
        <v>21</v>
      </c>
      <c r="K11" t="str">
        <f t="shared" si="0"/>
        <v/>
      </c>
      <c r="L11">
        <f t="shared" si="1"/>
        <v>0</v>
      </c>
    </row>
    <row r="12" spans="1:22" x14ac:dyDescent="0.35">
      <c r="A12" t="s">
        <v>22</v>
      </c>
      <c r="K12" t="str">
        <f t="shared" si="0"/>
        <v/>
      </c>
      <c r="L12">
        <f t="shared" si="1"/>
        <v>0</v>
      </c>
    </row>
    <row r="13" spans="1:22" x14ac:dyDescent="0.35">
      <c r="A13" t="s">
        <v>23</v>
      </c>
      <c r="K13" t="str">
        <f t="shared" si="0"/>
        <v/>
      </c>
      <c r="L13">
        <f t="shared" si="1"/>
        <v>0</v>
      </c>
    </row>
    <row r="14" spans="1:22" x14ac:dyDescent="0.35">
      <c r="A14" t="s">
        <v>24</v>
      </c>
      <c r="K14" t="str">
        <f t="shared" si="0"/>
        <v/>
      </c>
      <c r="L14">
        <f t="shared" si="1"/>
        <v>0</v>
      </c>
    </row>
    <row r="15" spans="1:22" x14ac:dyDescent="0.35">
      <c r="A15" t="s">
        <v>25</v>
      </c>
      <c r="K15" t="str">
        <f t="shared" si="0"/>
        <v/>
      </c>
      <c r="L15">
        <f t="shared" si="1"/>
        <v>0</v>
      </c>
    </row>
    <row r="16" spans="1:22" x14ac:dyDescent="0.35">
      <c r="A16" t="s">
        <v>26</v>
      </c>
      <c r="K16" t="str">
        <f t="shared" si="0"/>
        <v/>
      </c>
      <c r="L16">
        <f t="shared" si="1"/>
        <v>0</v>
      </c>
    </row>
    <row r="17" spans="1:12" x14ac:dyDescent="0.35">
      <c r="A17" t="s">
        <v>27</v>
      </c>
      <c r="K17" t="str">
        <f t="shared" si="0"/>
        <v/>
      </c>
      <c r="L17">
        <f t="shared" si="1"/>
        <v>0</v>
      </c>
    </row>
    <row r="18" spans="1:12" x14ac:dyDescent="0.35">
      <c r="A18" t="s">
        <v>28</v>
      </c>
      <c r="K18" t="str">
        <f t="shared" si="0"/>
        <v/>
      </c>
      <c r="L18">
        <f t="shared" si="1"/>
        <v>0</v>
      </c>
    </row>
    <row r="19" spans="1:12" x14ac:dyDescent="0.35">
      <c r="A19" t="s">
        <v>29</v>
      </c>
      <c r="K19" t="str">
        <f t="shared" si="0"/>
        <v/>
      </c>
      <c r="L19">
        <f t="shared" si="1"/>
        <v>0</v>
      </c>
    </row>
    <row r="20" spans="1:12" x14ac:dyDescent="0.35">
      <c r="A20" t="s">
        <v>30</v>
      </c>
      <c r="K20" t="str">
        <f t="shared" si="0"/>
        <v/>
      </c>
      <c r="L20">
        <f t="shared" si="1"/>
        <v>0</v>
      </c>
    </row>
    <row r="21" spans="1:12" x14ac:dyDescent="0.35">
      <c r="A21" t="s">
        <v>31</v>
      </c>
      <c r="K21" t="str">
        <f t="shared" si="0"/>
        <v/>
      </c>
      <c r="L21">
        <f t="shared" si="1"/>
        <v>0</v>
      </c>
    </row>
    <row r="22" spans="1:12" x14ac:dyDescent="0.35">
      <c r="A22" t="s">
        <v>32</v>
      </c>
      <c r="K22" t="str">
        <f t="shared" si="0"/>
        <v/>
      </c>
      <c r="L22">
        <f t="shared" si="1"/>
        <v>0</v>
      </c>
    </row>
    <row r="23" spans="1:12" x14ac:dyDescent="0.35">
      <c r="A23" t="s">
        <v>33</v>
      </c>
      <c r="K23" t="str">
        <f t="shared" si="0"/>
        <v/>
      </c>
      <c r="L23">
        <f t="shared" si="1"/>
        <v>0</v>
      </c>
    </row>
    <row r="24" spans="1:12" x14ac:dyDescent="0.35">
      <c r="A24" t="s">
        <v>34</v>
      </c>
      <c r="K24" t="str">
        <f t="shared" si="0"/>
        <v/>
      </c>
      <c r="L24">
        <f t="shared" si="1"/>
        <v>0</v>
      </c>
    </row>
    <row r="25" spans="1:12" x14ac:dyDescent="0.35">
      <c r="A25" t="s">
        <v>35</v>
      </c>
      <c r="K25" t="str">
        <f t="shared" si="0"/>
        <v/>
      </c>
      <c r="L25">
        <f t="shared" si="1"/>
        <v>0</v>
      </c>
    </row>
    <row r="26" spans="1:12" x14ac:dyDescent="0.35">
      <c r="A26" t="s">
        <v>36</v>
      </c>
      <c r="K26" t="str">
        <f t="shared" si="0"/>
        <v/>
      </c>
      <c r="L26">
        <f t="shared" si="1"/>
        <v>0</v>
      </c>
    </row>
    <row r="27" spans="1:12" x14ac:dyDescent="0.35">
      <c r="A27" t="s">
        <v>37</v>
      </c>
      <c r="K27" t="str">
        <f t="shared" si="0"/>
        <v/>
      </c>
      <c r="L27">
        <f t="shared" si="1"/>
        <v>0</v>
      </c>
    </row>
    <row r="28" spans="1:12" x14ac:dyDescent="0.35">
      <c r="A28" t="s">
        <v>38</v>
      </c>
      <c r="K28" t="str">
        <f t="shared" si="0"/>
        <v/>
      </c>
      <c r="L28">
        <f t="shared" si="1"/>
        <v>0</v>
      </c>
    </row>
    <row r="29" spans="1:12" x14ac:dyDescent="0.35">
      <c r="A29" t="s">
        <v>39</v>
      </c>
      <c r="K29" t="str">
        <f t="shared" si="0"/>
        <v/>
      </c>
      <c r="L29">
        <f t="shared" si="1"/>
        <v>0</v>
      </c>
    </row>
    <row r="30" spans="1:12" x14ac:dyDescent="0.35">
      <c r="A30" t="s">
        <v>40</v>
      </c>
      <c r="K30" t="str">
        <f t="shared" si="0"/>
        <v/>
      </c>
      <c r="L30">
        <f t="shared" si="1"/>
        <v>0</v>
      </c>
    </row>
    <row r="31" spans="1:12" x14ac:dyDescent="0.35">
      <c r="A31" t="s">
        <v>41</v>
      </c>
      <c r="K31" t="str">
        <f t="shared" si="0"/>
        <v/>
      </c>
      <c r="L31">
        <f t="shared" si="1"/>
        <v>0</v>
      </c>
    </row>
    <row r="32" spans="1:12" x14ac:dyDescent="0.35">
      <c r="A32" t="s">
        <v>42</v>
      </c>
      <c r="K32" t="str">
        <f t="shared" si="0"/>
        <v/>
      </c>
      <c r="L32">
        <f t="shared" si="1"/>
        <v>0</v>
      </c>
    </row>
    <row r="33" spans="1:12" x14ac:dyDescent="0.35">
      <c r="A33" t="s">
        <v>43</v>
      </c>
      <c r="K33" t="str">
        <f t="shared" si="0"/>
        <v/>
      </c>
      <c r="L33">
        <f t="shared" si="1"/>
        <v>0</v>
      </c>
    </row>
    <row r="34" spans="1:12" x14ac:dyDescent="0.35">
      <c r="A34" t="s">
        <v>44</v>
      </c>
      <c r="K34" t="str">
        <f t="shared" ref="K34:K59" si="2">IFERROR(D34/B34,"")</f>
        <v/>
      </c>
      <c r="L34">
        <f t="shared" ref="L34:L59" si="3">IFERROR(E34-F34,"")</f>
        <v>0</v>
      </c>
    </row>
    <row r="35" spans="1:12" x14ac:dyDescent="0.35">
      <c r="A35" t="s">
        <v>45</v>
      </c>
      <c r="K35" t="str">
        <f t="shared" si="2"/>
        <v/>
      </c>
      <c r="L35">
        <f t="shared" si="3"/>
        <v>0</v>
      </c>
    </row>
    <row r="36" spans="1:12" x14ac:dyDescent="0.35">
      <c r="A36" t="s">
        <v>46</v>
      </c>
      <c r="K36" t="str">
        <f t="shared" si="2"/>
        <v/>
      </c>
      <c r="L36">
        <f t="shared" si="3"/>
        <v>0</v>
      </c>
    </row>
    <row r="37" spans="1:12" x14ac:dyDescent="0.35">
      <c r="A37" t="s">
        <v>47</v>
      </c>
      <c r="K37" t="str">
        <f t="shared" si="2"/>
        <v/>
      </c>
      <c r="L37">
        <f t="shared" si="3"/>
        <v>0</v>
      </c>
    </row>
    <row r="38" spans="1:12" x14ac:dyDescent="0.35">
      <c r="A38" t="s">
        <v>48</v>
      </c>
      <c r="K38" t="str">
        <f t="shared" si="2"/>
        <v/>
      </c>
      <c r="L38">
        <f t="shared" si="3"/>
        <v>0</v>
      </c>
    </row>
    <row r="39" spans="1:12" x14ac:dyDescent="0.35">
      <c r="A39" t="s">
        <v>49</v>
      </c>
      <c r="K39" t="str">
        <f t="shared" si="2"/>
        <v/>
      </c>
      <c r="L39">
        <f t="shared" si="3"/>
        <v>0</v>
      </c>
    </row>
    <row r="40" spans="1:12" x14ac:dyDescent="0.35">
      <c r="A40" t="s">
        <v>50</v>
      </c>
      <c r="K40" t="str">
        <f t="shared" si="2"/>
        <v/>
      </c>
      <c r="L40">
        <f t="shared" si="3"/>
        <v>0</v>
      </c>
    </row>
    <row r="41" spans="1:12" x14ac:dyDescent="0.35">
      <c r="A41" t="s">
        <v>51</v>
      </c>
      <c r="K41" t="str">
        <f t="shared" si="2"/>
        <v/>
      </c>
      <c r="L41">
        <f t="shared" si="3"/>
        <v>0</v>
      </c>
    </row>
    <row r="42" spans="1:12" x14ac:dyDescent="0.35">
      <c r="A42" t="s">
        <v>52</v>
      </c>
      <c r="K42" t="str">
        <f t="shared" si="2"/>
        <v/>
      </c>
      <c r="L42">
        <f t="shared" si="3"/>
        <v>0</v>
      </c>
    </row>
    <row r="43" spans="1:12" x14ac:dyDescent="0.35">
      <c r="A43" t="s">
        <v>53</v>
      </c>
      <c r="K43" t="str">
        <f t="shared" si="2"/>
        <v/>
      </c>
      <c r="L43">
        <f t="shared" si="3"/>
        <v>0</v>
      </c>
    </row>
    <row r="44" spans="1:12" x14ac:dyDescent="0.35">
      <c r="A44" t="s">
        <v>54</v>
      </c>
      <c r="K44" t="str">
        <f t="shared" si="2"/>
        <v/>
      </c>
      <c r="L44">
        <f t="shared" si="3"/>
        <v>0</v>
      </c>
    </row>
    <row r="45" spans="1:12" x14ac:dyDescent="0.35">
      <c r="A45" t="s">
        <v>55</v>
      </c>
      <c r="K45" t="str">
        <f t="shared" si="2"/>
        <v/>
      </c>
      <c r="L45">
        <f t="shared" si="3"/>
        <v>0</v>
      </c>
    </row>
    <row r="46" spans="1:12" x14ac:dyDescent="0.35">
      <c r="A46" t="s">
        <v>56</v>
      </c>
      <c r="K46" t="str">
        <f t="shared" si="2"/>
        <v/>
      </c>
      <c r="L46">
        <f t="shared" si="3"/>
        <v>0</v>
      </c>
    </row>
    <row r="47" spans="1:12" x14ac:dyDescent="0.35">
      <c r="A47" t="s">
        <v>57</v>
      </c>
      <c r="K47" t="str">
        <f t="shared" si="2"/>
        <v/>
      </c>
      <c r="L47">
        <f t="shared" si="3"/>
        <v>0</v>
      </c>
    </row>
    <row r="48" spans="1:12" x14ac:dyDescent="0.35">
      <c r="A48" t="s">
        <v>58</v>
      </c>
      <c r="K48" t="str">
        <f t="shared" si="2"/>
        <v/>
      </c>
      <c r="L48">
        <f t="shared" si="3"/>
        <v>0</v>
      </c>
    </row>
    <row r="49" spans="1:12" x14ac:dyDescent="0.35">
      <c r="A49" t="s">
        <v>59</v>
      </c>
      <c r="K49" t="str">
        <f t="shared" si="2"/>
        <v/>
      </c>
      <c r="L49">
        <f t="shared" si="3"/>
        <v>0</v>
      </c>
    </row>
    <row r="50" spans="1:12" x14ac:dyDescent="0.35">
      <c r="A50" t="s">
        <v>60</v>
      </c>
      <c r="K50" t="str">
        <f t="shared" si="2"/>
        <v/>
      </c>
      <c r="L50">
        <f t="shared" si="3"/>
        <v>0</v>
      </c>
    </row>
    <row r="51" spans="1:12" x14ac:dyDescent="0.35">
      <c r="A51" t="s">
        <v>61</v>
      </c>
      <c r="K51" t="str">
        <f t="shared" si="2"/>
        <v/>
      </c>
      <c r="L51">
        <f t="shared" si="3"/>
        <v>0</v>
      </c>
    </row>
    <row r="52" spans="1:12" x14ac:dyDescent="0.35">
      <c r="A52" t="s">
        <v>62</v>
      </c>
      <c r="K52" t="str">
        <f t="shared" si="2"/>
        <v/>
      </c>
      <c r="L52">
        <f t="shared" si="3"/>
        <v>0</v>
      </c>
    </row>
    <row r="53" spans="1:12" x14ac:dyDescent="0.35">
      <c r="A53" t="s">
        <v>63</v>
      </c>
      <c r="K53" t="str">
        <f t="shared" si="2"/>
        <v/>
      </c>
      <c r="L53">
        <f t="shared" si="3"/>
        <v>0</v>
      </c>
    </row>
    <row r="54" spans="1:12" x14ac:dyDescent="0.35">
      <c r="A54" t="s">
        <v>64</v>
      </c>
      <c r="K54" t="str">
        <f t="shared" si="2"/>
        <v/>
      </c>
      <c r="L54">
        <f t="shared" si="3"/>
        <v>0</v>
      </c>
    </row>
    <row r="55" spans="1:12" x14ac:dyDescent="0.35">
      <c r="A55" t="s">
        <v>65</v>
      </c>
      <c r="K55" t="str">
        <f t="shared" si="2"/>
        <v/>
      </c>
      <c r="L55">
        <f t="shared" si="3"/>
        <v>0</v>
      </c>
    </row>
    <row r="56" spans="1:12" x14ac:dyDescent="0.35">
      <c r="A56" t="s">
        <v>66</v>
      </c>
      <c r="K56" t="str">
        <f t="shared" si="2"/>
        <v/>
      </c>
      <c r="L56">
        <f t="shared" si="3"/>
        <v>0</v>
      </c>
    </row>
    <row r="57" spans="1:12" x14ac:dyDescent="0.35">
      <c r="A57" t="s">
        <v>67</v>
      </c>
      <c r="K57" t="str">
        <f t="shared" si="2"/>
        <v/>
      </c>
      <c r="L57">
        <f t="shared" si="3"/>
        <v>0</v>
      </c>
    </row>
    <row r="58" spans="1:12" x14ac:dyDescent="0.35">
      <c r="A58" t="s">
        <v>68</v>
      </c>
      <c r="K58" t="str">
        <f t="shared" si="2"/>
        <v/>
      </c>
      <c r="L58">
        <f t="shared" si="3"/>
        <v>0</v>
      </c>
    </row>
    <row r="59" spans="1:12" x14ac:dyDescent="0.35">
      <c r="A59" t="s">
        <v>69</v>
      </c>
      <c r="K59" t="str">
        <f t="shared" si="2"/>
        <v/>
      </c>
      <c r="L59">
        <f t="shared" si="3"/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/>
  </sheetViews>
  <sheetFormatPr defaultRowHeight="14.5" x14ac:dyDescent="0.35"/>
  <sheetData>
    <row r="1" spans="1:2" ht="18.5" x14ac:dyDescent="0.45">
      <c r="A1" s="2" t="s">
        <v>70</v>
      </c>
    </row>
    <row r="2" spans="1:2" x14ac:dyDescent="0.35">
      <c r="A2" t="s">
        <v>71</v>
      </c>
    </row>
    <row r="4" spans="1:2" ht="15.5" x14ac:dyDescent="0.35">
      <c r="A4" s="3" t="s">
        <v>72</v>
      </c>
    </row>
    <row r="5" spans="1:2" x14ac:dyDescent="0.35">
      <c r="A5" t="s">
        <v>73</v>
      </c>
    </row>
    <row r="6" spans="1:2" x14ac:dyDescent="0.35">
      <c r="A6" t="s">
        <v>74</v>
      </c>
    </row>
    <row r="7" spans="1:2" x14ac:dyDescent="0.35">
      <c r="A7" t="s">
        <v>75</v>
      </c>
    </row>
    <row r="9" spans="1:2" x14ac:dyDescent="0.35">
      <c r="A9" s="4" t="s">
        <v>76</v>
      </c>
    </row>
    <row r="10" spans="1:2" x14ac:dyDescent="0.35">
      <c r="A10" s="4" t="s">
        <v>1</v>
      </c>
      <c r="B10" t="s">
        <v>77</v>
      </c>
    </row>
    <row r="11" spans="1:2" x14ac:dyDescent="0.35">
      <c r="A11" s="4" t="s">
        <v>2</v>
      </c>
      <c r="B11" t="s">
        <v>78</v>
      </c>
    </row>
    <row r="12" spans="1:2" x14ac:dyDescent="0.35">
      <c r="A12" s="4" t="s">
        <v>3</v>
      </c>
      <c r="B12" t="s">
        <v>79</v>
      </c>
    </row>
    <row r="13" spans="1:2" x14ac:dyDescent="0.35">
      <c r="A13" s="4" t="s">
        <v>4</v>
      </c>
      <c r="B13" t="s">
        <v>80</v>
      </c>
    </row>
    <row r="14" spans="1:2" x14ac:dyDescent="0.35">
      <c r="A14" s="4" t="s">
        <v>5</v>
      </c>
      <c r="B14" t="s">
        <v>81</v>
      </c>
    </row>
    <row r="15" spans="1:2" x14ac:dyDescent="0.35">
      <c r="A15" s="4" t="s">
        <v>6</v>
      </c>
      <c r="B15" t="s">
        <v>82</v>
      </c>
    </row>
    <row r="16" spans="1:2" x14ac:dyDescent="0.35">
      <c r="A16" s="4" t="s">
        <v>7</v>
      </c>
      <c r="B16" t="s">
        <v>83</v>
      </c>
    </row>
    <row r="17" spans="1:2" x14ac:dyDescent="0.35">
      <c r="A17" s="4" t="s">
        <v>8</v>
      </c>
      <c r="B17" t="s">
        <v>84</v>
      </c>
    </row>
    <row r="18" spans="1:2" x14ac:dyDescent="0.35">
      <c r="A18" s="4" t="s">
        <v>9</v>
      </c>
      <c r="B18" t="s">
        <v>85</v>
      </c>
    </row>
    <row r="19" spans="1:2" x14ac:dyDescent="0.35">
      <c r="A19" s="4" t="s">
        <v>10</v>
      </c>
      <c r="B19" t="s">
        <v>86</v>
      </c>
    </row>
    <row r="20" spans="1:2" x14ac:dyDescent="0.35">
      <c r="A20" s="4" t="s">
        <v>11</v>
      </c>
      <c r="B20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Data_Entry</vt:lpstr>
      <vt:lpstr>ReadMe_Dictionary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Tompkins</cp:lastModifiedBy>
  <dcterms:created xsi:type="dcterms:W3CDTF">2025-09-03T23:01:03Z</dcterms:created>
  <dcterms:modified xsi:type="dcterms:W3CDTF">2025-09-05T21:24:32Z</dcterms:modified>
</cp:coreProperties>
</file>